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Folder costs" sheetId="2" state="visible" r:id="rId2"/>
    <sheet name="Our stacks" sheetId="3" state="visible" r:id="rId3"/>
    <sheet name="Rates" sheetId="4" state="visible" r:id="rId4"/>
    <sheet name="S3" sheetId="5" state="visible" r:id="rId5"/>
    <sheet name="EC2 and EBS" sheetId="6" state="visible" r:id="rId6"/>
    <sheet name="AWS Backup" sheetId="7" state="visible" r:id="rId7"/>
    <sheet name="S3 CRR" sheetId="8" state="visible" r:id="rId8"/>
  </sheets>
  <definedNames/>
  <calcPr calcId="124519" fullCalcOnLoad="1"/>
</workbook>
</file>

<file path=xl/styles.xml><?xml version="1.0" encoding="utf-8"?>
<styleSheet xmlns="http://schemas.openxmlformats.org/spreadsheetml/2006/main">
  <numFmts count="6">
    <numFmt numFmtId="164" formatCode="\$#,##0.0000;-\$#,##0.0000;-"/>
    <numFmt numFmtId="165" formatCode="[&lt;0.0001]\$0.00E+00;[&lt;1]\$0.000000;\$#,##0.0000"/>
    <numFmt numFmtId="166" formatCode="\$#,##0.0000"/>
    <numFmt numFmtId="167" formatCode="0.000000000"/>
    <numFmt numFmtId="168" formatCode="\$#,##0.00000;-\$#,##0.00000;&quot;$0&quot;"/>
    <numFmt numFmtId="169" formatCode="\$#,##0.00;-\$#,##0.00;&quot;$0&quot;"/>
  </numFmts>
  <fonts count="12">
    <font>
      <name val="Calibri"/>
      <family val="2"/>
      <color theme="1"/>
      <sz val="11"/>
      <scheme val="minor"/>
    </font>
    <font>
      <name val="Arial"/>
      <b val="1"/>
      <sz val="14"/>
    </font>
    <font>
      <name val="Arial"/>
      <i val="1"/>
      <color rgb="00595959"/>
      <sz val="9"/>
    </font>
    <font>
      <name val="Arial"/>
      <b val="1"/>
      <sz val="10"/>
    </font>
    <font>
      <name val="Arial"/>
      <color rgb="000000FF"/>
      <sz val="10"/>
    </font>
    <font>
      <name val="Arial"/>
      <b val="1"/>
      <color rgb="00FFFFFF"/>
      <sz val="10"/>
    </font>
    <font>
      <name val="Arial"/>
      <sz val="10"/>
    </font>
    <font>
      <name val="Arial"/>
      <b val="1"/>
      <color rgb="00C00000"/>
      <sz val="9"/>
    </font>
    <font>
      <name val="Arial"/>
      <b val="1"/>
      <color rgb="001F3864"/>
      <sz val="11"/>
    </font>
    <font>
      <name val="Arial"/>
      <color rgb="00008000"/>
      <sz val="10"/>
    </font>
    <font>
      <name val="Arial"/>
      <b val="1"/>
      <color rgb="00008000"/>
      <sz val="10"/>
    </font>
    <font>
      <name val="Arial"/>
      <color rgb="00595959"/>
      <sz val="9"/>
    </font>
  </fonts>
  <fills count="6">
    <fill>
      <patternFill/>
    </fill>
    <fill>
      <patternFill patternType="gray125"/>
    </fill>
    <fill>
      <patternFill patternType="solid">
        <fgColor rgb="00FFFF00"/>
      </patternFill>
    </fill>
    <fill>
      <patternFill patternType="solid">
        <fgColor rgb="001F3864"/>
      </patternFill>
    </fill>
    <fill>
      <patternFill patternType="solid">
        <fgColor rgb="00D9E2F3"/>
      </patternFill>
    </fill>
    <fill>
      <patternFill patternType="solid">
        <fgColor rgb="00F2F2F2"/>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60">
    <xf numFmtId="0" fontId="0" fillId="0" borderId="0" pivotButton="0" quotePrefix="0" xfId="0"/>
    <xf numFmtId="0" fontId="1" fillId="0" borderId="0" pivotButton="0" quotePrefix="0" xfId="0"/>
    <xf numFmtId="0" fontId="2" fillId="0" borderId="0" pivotButton="0" quotePrefix="0" xfId="0"/>
    <xf numFmtId="0" fontId="5" fillId="3" borderId="1" applyAlignment="1" pivotButton="0" quotePrefix="0" xfId="0">
      <alignment horizontal="center" vertical="center" wrapText="1"/>
    </xf>
    <xf numFmtId="0" fontId="8" fillId="4" borderId="0" pivotButton="0" quotePrefix="0" xfId="0"/>
    <xf numFmtId="0" fontId="0" fillId="4" borderId="0" pivotButton="0" quotePrefix="0" xfId="0"/>
    <xf numFmtId="0" fontId="6" fillId="0" borderId="1" pivotButton="0" quotePrefix="0" xfId="0"/>
    <xf numFmtId="164" fontId="9" fillId="0" borderId="1" pivotButton="0" quotePrefix="0" xfId="0"/>
    <xf numFmtId="0" fontId="2" fillId="0" borderId="1" pivotButton="0" quotePrefix="0" xfId="0"/>
    <xf numFmtId="0" fontId="3" fillId="0" borderId="1" pivotButton="0" quotePrefix="0" xfId="0"/>
    <xf numFmtId="164" fontId="10" fillId="0" borderId="1" pivotButton="0" quotePrefix="0" xfId="0"/>
    <xf numFmtId="165" fontId="9" fillId="0" borderId="1" pivotButton="0" quotePrefix="0" xfId="0"/>
    <xf numFmtId="0" fontId="2" fillId="0" borderId="0" applyAlignment="1" pivotButton="0" quotePrefix="0" xfId="0">
      <alignment vertical="top" wrapText="1"/>
    </xf>
    <xf numFmtId="0" fontId="3" fillId="0" borderId="0" pivotButton="0" quotePrefix="0" xfId="0"/>
    <xf numFmtId="2" fontId="4" fillId="2" borderId="1" pivotButton="0" quotePrefix="0" xfId="0"/>
    <xf numFmtId="0" fontId="2" fillId="0" borderId="1" applyAlignment="1" pivotButton="0" quotePrefix="0" xfId="0">
      <alignment vertical="top" wrapText="1"/>
    </xf>
    <xf numFmtId="0" fontId="0" fillId="0" borderId="4" pivotButton="0" quotePrefix="0" xfId="0"/>
    <xf numFmtId="0" fontId="0" fillId="0" borderId="5" pivotButton="0" quotePrefix="0" xfId="0"/>
    <xf numFmtId="0" fontId="6" fillId="0" borderId="1" applyAlignment="1" pivotButton="0" quotePrefix="0" xfId="0">
      <alignment vertical="top" wrapText="1"/>
    </xf>
    <xf numFmtId="0" fontId="4" fillId="2" borderId="1" pivotButton="0" quotePrefix="0" xfId="0"/>
    <xf numFmtId="1" fontId="4" fillId="2" borderId="1" pivotButton="0" quotePrefix="0" xfId="0"/>
    <xf numFmtId="2" fontId="6" fillId="0" borderId="1" pivotButton="0" quotePrefix="0" xfId="0"/>
    <xf numFmtId="164" fontId="3" fillId="0" borderId="1" pivotButton="0" quotePrefix="0" xfId="0"/>
    <xf numFmtId="164" fontId="6" fillId="0" borderId="1" pivotButton="0" quotePrefix="0" xfId="0"/>
    <xf numFmtId="3" fontId="4" fillId="2" borderId="1" pivotButton="0" quotePrefix="0" xfId="0"/>
    <xf numFmtId="166" fontId="4" fillId="2" borderId="1" pivotButton="0" quotePrefix="0" xfId="0"/>
    <xf numFmtId="0" fontId="7" fillId="0" borderId="1" pivotButton="0" quotePrefix="0" xfId="0"/>
    <xf numFmtId="167" fontId="6" fillId="0" borderId="1" pivotButton="0" quotePrefix="0" xfId="0"/>
    <xf numFmtId="166" fontId="9" fillId="0" borderId="1" pivotButton="0" quotePrefix="0" xfId="0"/>
    <xf numFmtId="165" fontId="6" fillId="0" borderId="1" pivotButton="0" quotePrefix="0" xfId="0"/>
    <xf numFmtId="167" fontId="4" fillId="2" borderId="1" pivotButton="0" quotePrefix="0" xfId="0"/>
    <xf numFmtId="3" fontId="6" fillId="0" borderId="1" pivotButton="0" quotePrefix="0" xfId="0"/>
    <xf numFmtId="0" fontId="6" fillId="0" borderId="0" pivotButton="0" quotePrefix="0" xfId="0"/>
    <xf numFmtId="165" fontId="3" fillId="0" borderId="1" pivotButton="0" quotePrefix="0" xfId="0"/>
    <xf numFmtId="166" fontId="6" fillId="0" borderId="1" pivotButton="0" quotePrefix="0" xfId="0"/>
    <xf numFmtId="164" fontId="9" fillId="0" borderId="1" pivotButton="0" quotePrefix="0" xfId="0"/>
    <xf numFmtId="164" fontId="10" fillId="0" borderId="1" pivotButton="0" quotePrefix="0" xfId="0"/>
    <xf numFmtId="165" fontId="9" fillId="0" borderId="1" pivotButton="0" quotePrefix="0" xfId="0"/>
    <xf numFmtId="164" fontId="3" fillId="0" borderId="1" pivotButton="0" quotePrefix="0" xfId="0"/>
    <xf numFmtId="164" fontId="6" fillId="0" borderId="1" pivotButton="0" quotePrefix="0" xfId="0"/>
    <xf numFmtId="166" fontId="4" fillId="2" borderId="1" pivotButton="0" quotePrefix="0" xfId="0"/>
    <xf numFmtId="167" fontId="6" fillId="0" borderId="1" pivotButton="0" quotePrefix="0" xfId="0"/>
    <xf numFmtId="166" fontId="9" fillId="0" borderId="1" pivotButton="0" quotePrefix="0" xfId="0"/>
    <xf numFmtId="165" fontId="6" fillId="0" borderId="1" pivotButton="0" quotePrefix="0" xfId="0"/>
    <xf numFmtId="167" fontId="4" fillId="2" borderId="1" pivotButton="0" quotePrefix="0" xfId="0"/>
    <xf numFmtId="165" fontId="3" fillId="0" borderId="1" pivotButton="0" quotePrefix="0" xfId="0"/>
    <xf numFmtId="166" fontId="6" fillId="0" borderId="1" pivotButton="0" quotePrefix="0" xfId="0"/>
    <xf numFmtId="0" fontId="11" fillId="0" borderId="0" applyAlignment="1" pivotButton="0" quotePrefix="0" xfId="0">
      <alignment vertical="top" wrapText="1"/>
    </xf>
    <xf numFmtId="0" fontId="5" fillId="3" borderId="1" applyAlignment="1" pivotButton="0" quotePrefix="0" xfId="0">
      <alignment horizontal="left" vertical="center" wrapText="1"/>
    </xf>
    <xf numFmtId="0" fontId="10" fillId="0" borderId="1" pivotButton="0" quotePrefix="0" xfId="0"/>
    <xf numFmtId="0" fontId="9" fillId="0" borderId="1" pivotButton="0" quotePrefix="0" xfId="0"/>
    <xf numFmtId="168" fontId="9" fillId="0" borderId="1" pivotButton="0" quotePrefix="0" xfId="0"/>
    <xf numFmtId="169" fontId="9" fillId="0" borderId="1" pivotButton="0" quotePrefix="0" xfId="0"/>
    <xf numFmtId="0" fontId="3" fillId="5" borderId="1" pivotButton="0" quotePrefix="0" xfId="0"/>
    <xf numFmtId="168" fontId="3" fillId="5" borderId="1" pivotButton="0" quotePrefix="0" xfId="0"/>
    <xf numFmtId="169" fontId="3" fillId="5" borderId="1" pivotButton="0" quotePrefix="0" xfId="0"/>
    <xf numFmtId="168" fontId="6" fillId="0" borderId="1" pivotButton="0" quotePrefix="0" xfId="0"/>
    <xf numFmtId="168" fontId="4" fillId="0" borderId="1" pivotButton="0" quotePrefix="0" xfId="0"/>
    <xf numFmtId="169" fontId="6" fillId="0" borderId="1" pivotButton="0" quotePrefix="0" xfId="0"/>
    <xf numFmtId="0" fontId="4" fillId="0"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56" customWidth="1" min="2" max="2"/>
    <col width="16" customWidth="1" min="3" max="3"/>
    <col width="16" customWidth="1" min="4" max="4"/>
    <col width="16" customWidth="1" min="5" max="5"/>
    <col width="16" customWidth="1" min="6" max="6"/>
    <col width="16" customWidth="1" min="7" max="7"/>
  </cols>
  <sheetData>
    <row r="1" ht="17.35" customHeight="1">
      <c r="A1" s="1" t="inlineStr">
        <is>
          <t>AWS cost report: S3, EC2, EBS, snapshots, AWS Backup, copy job and S3 replication</t>
        </is>
      </c>
    </row>
    <row r="2">
      <c r="A2" s="2" t="inlineStr">
        <is>
          <t>us-east-1 list prices, in USD. Every number links to the detail sheets; change any rate on the Rates sheet and this page updates. 'Our stacks' prices each Terraform folder as deployed.</t>
        </is>
      </c>
    </row>
    <row r="3"/>
    <row r="4" ht="31.5" customHeight="1">
      <c r="A4" s="3" t="inlineStr">
        <is>
          <t>Service</t>
        </is>
      </c>
      <c r="B4" s="3" t="inlineStr">
        <is>
          <t>Item</t>
        </is>
      </c>
      <c r="C4" s="3" t="inlineStr">
        <is>
          <t>Per hour (USD)</t>
        </is>
      </c>
      <c r="D4" s="3" t="inlineStr">
        <is>
          <t>Per day (USD)</t>
        </is>
      </c>
      <c r="E4" s="3" t="inlineStr">
        <is>
          <t>Per month (USD)</t>
        </is>
      </c>
      <c r="F4" s="3" t="inlineStr">
        <is>
          <t>One-time (USD)</t>
        </is>
      </c>
      <c r="G4" s="3" t="inlineStr">
        <is>
          <t>Detail sheet</t>
        </is>
      </c>
    </row>
    <row r="5">
      <c r="A5" s="4" t="inlineStr">
        <is>
          <t>Our Terraform stacks, as the scripts deploy them</t>
        </is>
      </c>
      <c r="B5" s="5" t="n"/>
      <c r="C5" s="5" t="n"/>
      <c r="D5" s="5" t="n"/>
      <c r="E5" s="5" t="n"/>
      <c r="F5" s="5" t="n"/>
      <c r="G5" s="5" t="n"/>
    </row>
    <row r="6">
      <c r="A6" s="6" t="inlineStr">
        <is>
          <t>EC2 stack</t>
        </is>
      </c>
      <c r="B6" s="6" t="inlineStr">
        <is>
          <t>ec2-01: Instance + 8 GiB root. No protection</t>
        </is>
      </c>
      <c r="C6" s="35">
        <f>'Our stacks'!J10</f>
        <v>0.016276712328767123</v>
      </c>
      <c r="D6" s="35">
        <f>'Our stacks'!K10</f>
        <v>0.39064109589041096</v>
      </c>
      <c r="E6" s="35">
        <f>'Our stacks'!L10</f>
        <v>11.882</v>
      </c>
      <c r="F6" s="35">
        <f>'Our stacks'!M10</f>
        <v>0.0</v>
      </c>
      <c r="G6" s="8" t="inlineStr">
        <is>
          <t>Our stacks</t>
        </is>
      </c>
    </row>
    <row r="7">
      <c r="A7" s="6" t="inlineStr">
        <is>
          <t>EC2 stack</t>
        </is>
      </c>
      <c r="B7" s="6" t="inlineStr">
        <is>
          <t>ec2-02: Instance + encrypted 1 GiB data volume</t>
        </is>
      </c>
      <c r="C7" s="35">
        <f>'Our stacks'!J11</f>
        <v>0.016386301369863014</v>
      </c>
      <c r="D7" s="35">
        <f>'Our stacks'!K11</f>
        <v>0.39327123287671234</v>
      </c>
      <c r="E7" s="35">
        <f>'Our stacks'!L11</f>
        <v>11.962</v>
      </c>
      <c r="F7" s="35">
        <f>'Our stacks'!M11</f>
        <v>0.0</v>
      </c>
      <c r="G7" s="8" t="inlineStr">
        <is>
          <t>Our stacks</t>
        </is>
      </c>
    </row>
    <row r="8">
      <c r="A8" s="6" t="inlineStr">
        <is>
          <t>EC2 stack</t>
        </is>
      </c>
      <c r="B8" s="6" t="inlineStr">
        <is>
          <t>ec2-03: + data volume + 1 EBS snapshot</t>
        </is>
      </c>
      <c r="C8" s="35">
        <f>'Our stacks'!J12</f>
        <v>0.016386301369863014</v>
      </c>
      <c r="D8" s="35">
        <f>'Our stacks'!K12</f>
        <v>0.39327123287671234</v>
      </c>
      <c r="E8" s="35">
        <f>'Our stacks'!L12</f>
        <v>11.962</v>
      </c>
      <c r="F8" s="35">
        <f>'Our stacks'!M12</f>
        <v>0.0</v>
      </c>
      <c r="G8" s="8" t="inlineStr">
        <is>
          <t>Our stacks</t>
        </is>
      </c>
    </row>
    <row r="9">
      <c r="A9" s="6" t="inlineStr">
        <is>
          <t>EC2 stack</t>
        </is>
      </c>
      <c r="B9" s="6" t="inlineStr">
        <is>
          <t>ec2-04: + data volume + snapshot + AMI</t>
        </is>
      </c>
      <c r="C9" s="35">
        <f>'Our stacks'!J13</f>
        <v>0.016454794520547947</v>
      </c>
      <c r="D9" s="35">
        <f>'Our stacks'!K13</f>
        <v>0.3949150684931507</v>
      </c>
      <c r="E9" s="35">
        <f>'Our stacks'!L13</f>
        <v>12.012</v>
      </c>
      <c r="F9" s="35">
        <f>'Our stacks'!M13</f>
        <v>0.0</v>
      </c>
      <c r="G9" s="8" t="inlineStr">
        <is>
          <t>Our stacks</t>
        </is>
      </c>
    </row>
    <row r="10">
      <c r="A10" s="6" t="inlineStr">
        <is>
          <t>EC2 stack</t>
        </is>
      </c>
      <c r="B10" s="6" t="inlineStr">
        <is>
          <t>ec2-05: + data volume + DLM (24 h, keep 1)</t>
        </is>
      </c>
      <c r="C10" s="35">
        <f>'Our stacks'!J14</f>
        <v>0.016454794520547947</v>
      </c>
      <c r="D10" s="35">
        <f>'Our stacks'!K14</f>
        <v>0.3949150684931507</v>
      </c>
      <c r="E10" s="35">
        <f>'Our stacks'!L14</f>
        <v>12.012</v>
      </c>
      <c r="F10" s="35">
        <f>'Our stacks'!M14</f>
        <v>0.0</v>
      </c>
      <c r="G10" s="8" t="inlineStr">
        <is>
          <t>Our stacks</t>
        </is>
      </c>
    </row>
    <row r="11">
      <c r="A11" s="6" t="inlineStr">
        <is>
          <t>EC2 stack</t>
        </is>
      </c>
      <c r="B11" s="6" t="inlineStr">
        <is>
          <t>ec2-06: Instance backup, 1 vault, no copy, no lock</t>
        </is>
      </c>
      <c r="C11" s="35">
        <f>'Our stacks'!J15</f>
        <v>0.016345205479452056</v>
      </c>
      <c r="D11" s="35">
        <f>'Our stacks'!K15</f>
        <v>0.39228493150684934</v>
      </c>
      <c r="E11" s="35">
        <f>'Our stacks'!L15</f>
        <v>11.932</v>
      </c>
      <c r="F11" s="35">
        <f>'Our stacks'!M15</f>
        <v>0.0</v>
      </c>
      <c r="G11" s="8" t="inlineStr">
        <is>
          <t>Our stacks</t>
        </is>
      </c>
    </row>
    <row r="12">
      <c r="A12" s="6" t="inlineStr">
        <is>
          <t>EC2 stack</t>
        </is>
      </c>
      <c r="B12" s="6" t="inlineStr">
        <is>
          <t>ec2-07: Instance backup + copy to DR vault (DR locked)</t>
        </is>
      </c>
      <c r="C12" s="35">
        <f>'Our stacks'!J16</f>
        <v>0.01641369863013699</v>
      </c>
      <c r="D12" s="35">
        <f>'Our stacks'!K16</f>
        <v>0.3939287671232877</v>
      </c>
      <c r="E12" s="35">
        <f>'Our stacks'!L16</f>
        <v>11.982000000000001</v>
      </c>
      <c r="F12" s="35">
        <f>'Our stacks'!M16</f>
        <v>0.02</v>
      </c>
      <c r="G12" s="8" t="inlineStr">
        <is>
          <t>Our stacks</t>
        </is>
      </c>
    </row>
    <row r="13">
      <c r="A13" s="6" t="inlineStr">
        <is>
          <t>EC2 stack</t>
        </is>
      </c>
      <c r="B13" s="6" t="inlineStr">
        <is>
          <t>ec2-08: Instance backup + copy to DR vault (DR locked)</t>
        </is>
      </c>
      <c r="C13" s="35">
        <f>'Our stacks'!J17</f>
        <v>0.011413698630136986</v>
      </c>
      <c r="D13" s="35">
        <f>'Our stacks'!K17</f>
        <v>0.2739287671232877</v>
      </c>
      <c r="E13" s="35">
        <f>'Our stacks'!L17</f>
        <v>8.331999999999999</v>
      </c>
      <c r="F13" s="35">
        <f>'Our stacks'!M17</f>
        <v>0.02</v>
      </c>
      <c r="G13" s="8" t="inlineStr">
        <is>
          <t>Our stacks</t>
        </is>
      </c>
    </row>
    <row r="14">
      <c r="A14" s="6" t="inlineStr">
        <is>
          <t>EC2 stack</t>
        </is>
      </c>
      <c r="B14" s="6" t="inlineStr">
        <is>
          <t>ec2-09: Data-volume backup + copy to DR vault (DR locked)</t>
        </is>
      </c>
      <c r="C14" s="35">
        <f>'Our stacks'!J18</f>
        <v>0.011386301369863013</v>
      </c>
      <c r="D14" s="35">
        <f>'Our stacks'!K18</f>
        <v>0.2732712328767123</v>
      </c>
      <c r="E14" s="35">
        <f>'Our stacks'!L18</f>
        <v>8.312</v>
      </c>
      <c r="F14" s="35">
        <f>'Our stacks'!M18</f>
        <v>0.0</v>
      </c>
      <c r="G14" s="8" t="inlineStr">
        <is>
          <t>Our stacks</t>
        </is>
      </c>
    </row>
    <row r="15">
      <c r="A15" s="6" t="inlineStr">
        <is>
          <t>EC2 stack</t>
        </is>
      </c>
      <c r="B15" s="6" t="inlineStr">
        <is>
          <t>ec2-backup-dr: Instance + data volume backup + copy to DR (DR locked)</t>
        </is>
      </c>
      <c r="C15" s="35">
        <f>'Our stacks'!J19</f>
        <v>0.011523287671232877</v>
      </c>
      <c r="D15" s="35">
        <f>'Our stacks'!K19</f>
        <v>0.27655890410958905</v>
      </c>
      <c r="E15" s="35">
        <f>'Our stacks'!L19</f>
        <v>8.412</v>
      </c>
      <c r="F15" s="35">
        <f>'Our stacks'!M19</f>
        <v>0.02</v>
      </c>
      <c r="G15" s="8" t="inlineStr">
        <is>
          <t>Our stacks</t>
        </is>
      </c>
    </row>
    <row r="16">
      <c r="A16" s="9" t="inlineStr">
        <is>
          <t>EC2 stacks</t>
        </is>
      </c>
      <c r="B16" s="9" t="inlineStr">
        <is>
          <t>All 10 EC2 folders at once</t>
        </is>
      </c>
      <c r="C16" s="36">
        <f>'Our stacks'!J20</f>
        <v>0.14904109589041098</v>
      </c>
      <c r="D16" s="36">
        <f>'Our stacks'!K20</f>
        <v>3.576986301369863</v>
      </c>
      <c r="E16" s="36">
        <f>'Our stacks'!L20</f>
        <v>108.8</v>
      </c>
      <c r="F16" s="36">
        <f>'Our stacks'!M20</f>
        <v>0.06</v>
      </c>
      <c r="G16" s="8" t="inlineStr">
        <is>
          <t>Our stacks</t>
        </is>
      </c>
    </row>
    <row r="17">
      <c r="A17" s="6" t="inlineStr">
        <is>
          <t>S3 stack</t>
        </is>
      </c>
      <c r="B17" s="6" t="inlineStr">
        <is>
          <t>s3-05: Versioned bucket + AWS Backup, 1 vault, no copy (per 1 GB of data)</t>
        </is>
      </c>
      <c r="C17" s="35">
        <f>'Our stacks'!J24</f>
        <v>0.00010000000000000002</v>
      </c>
      <c r="D17" s="35">
        <f>'Our stacks'!K24</f>
        <v>0.0024000000000000002</v>
      </c>
      <c r="E17" s="35">
        <f>'Our stacks'!L24</f>
        <v>0.07300000000000001</v>
      </c>
      <c r="F17" s="35">
        <f>'Our stacks'!M24</f>
        <v>0.0</v>
      </c>
      <c r="G17" s="8" t="inlineStr">
        <is>
          <t>Our stacks</t>
        </is>
      </c>
    </row>
    <row r="18">
      <c r="A18" s="6" t="inlineStr">
        <is>
          <t>S3 stack</t>
        </is>
      </c>
      <c r="B18" s="6" t="inlineStr">
        <is>
          <t>s3-06: Bucket + AWS Backup + copy to DR vault (no lock) (per 1 GB of data)</t>
        </is>
      </c>
      <c r="C18" s="35">
        <f>'Our stacks'!J25</f>
        <v>0.0001684931506849315</v>
      </c>
      <c r="D18" s="35">
        <f>'Our stacks'!K25</f>
        <v>0.004043835616438356</v>
      </c>
      <c r="E18" s="35">
        <f>'Our stacks'!L25</f>
        <v>0.123</v>
      </c>
      <c r="F18" s="35">
        <f>'Our stacks'!M25</f>
        <v>0.02</v>
      </c>
      <c r="G18" s="8" t="inlineStr">
        <is>
          <t>Our stacks</t>
        </is>
      </c>
    </row>
    <row r="19">
      <c r="A19" s="6" t="inlineStr">
        <is>
          <t>S3 stack</t>
        </is>
      </c>
      <c r="B19" s="6" t="inlineStr">
        <is>
          <t>s3-backup-dr: Bucket + AWS Backup + copy to DR (DR locked) (per 1 GB of data)</t>
        </is>
      </c>
      <c r="C19" s="35">
        <f>'Our stacks'!J26</f>
        <v>0.0001684931506849315</v>
      </c>
      <c r="D19" s="35">
        <f>'Our stacks'!K26</f>
        <v>0.004043835616438356</v>
      </c>
      <c r="E19" s="35">
        <f>'Our stacks'!L26</f>
        <v>0.123</v>
      </c>
      <c r="F19" s="35">
        <f>'Our stacks'!M26</f>
        <v>0.02</v>
      </c>
      <c r="G19" s="8" t="inlineStr">
        <is>
          <t>Our stacks</t>
        </is>
      </c>
    </row>
    <row r="20">
      <c r="A20" s="4" t="inlineStr">
        <is>
          <t>S3 bucket: creation and object storage (S3 Standard)</t>
        </is>
      </c>
      <c r="B20" s="5" t="n"/>
      <c r="C20" s="5" t="n"/>
      <c r="D20" s="5" t="n"/>
      <c r="E20" s="5" t="n"/>
      <c r="F20" s="5" t="n"/>
      <c r="G20" s="5" t="n"/>
    </row>
    <row r="21">
      <c r="A21" s="6" t="inlineStr">
        <is>
          <t>S3</t>
        </is>
      </c>
      <c r="B21" s="6" t="inlineStr">
        <is>
          <t>1 KB object, storage</t>
        </is>
      </c>
      <c r="C21" s="37">
        <f>S3!D6</f>
        <v>3.004727298266267e-11</v>
      </c>
      <c r="D21" s="37">
        <f>S3!E6</f>
        <v>7.21134551583904e-10</v>
      </c>
      <c r="E21" s="37">
        <f>S3!F6</f>
        <v>2.193450927734375e-08</v>
      </c>
      <c r="F21" s="6" t="n"/>
      <c r="G21" s="8" t="inlineStr">
        <is>
          <t>S3</t>
        </is>
      </c>
    </row>
    <row r="22">
      <c r="A22" s="6" t="inlineStr">
        <is>
          <t>S3</t>
        </is>
      </c>
      <c r="B22" s="6" t="inlineStr">
        <is>
          <t>1 MB object, storage</t>
        </is>
      </c>
      <c r="C22" s="37">
        <f>S3!D8</f>
        <v>3.076840753424657e-08</v>
      </c>
      <c r="D22" s="37">
        <f>S3!E8</f>
        <v>7.384417808219177e-07</v>
      </c>
      <c r="E22" s="37">
        <f>S3!F8</f>
        <v>2.24609375e-05</v>
      </c>
      <c r="F22" s="6" t="n"/>
      <c r="G22" s="8" t="inlineStr">
        <is>
          <t>S3</t>
        </is>
      </c>
    </row>
    <row r="23">
      <c r="A23" s="6" t="inlineStr">
        <is>
          <t>S3</t>
        </is>
      </c>
      <c r="B23" s="6" t="inlineStr">
        <is>
          <t>1 GB object, storage</t>
        </is>
      </c>
      <c r="C23" s="37">
        <f>S3!D9</f>
        <v>3.150684931506849e-05</v>
      </c>
      <c r="D23" s="37">
        <f>S3!E9</f>
        <v>0.0007561643835616437</v>
      </c>
      <c r="E23" s="37">
        <f>S3!F9</f>
        <v>0.023</v>
      </c>
      <c r="F23" s="6" t="n"/>
      <c r="G23" s="8" t="inlineStr">
        <is>
          <t>S3</t>
        </is>
      </c>
    </row>
    <row r="24">
      <c r="A24" s="6" t="inlineStr">
        <is>
          <t>S3</t>
        </is>
      </c>
      <c r="B24" s="6" t="inlineStr">
        <is>
          <t>1 PUT request (upload)</t>
        </is>
      </c>
      <c r="C24" s="6" t="n"/>
      <c r="D24" s="6" t="n"/>
      <c r="E24" s="6" t="n"/>
      <c r="F24" s="37">
        <f>S3!D13</f>
        <v>5e-06</v>
      </c>
      <c r="G24" s="8" t="inlineStr">
        <is>
          <t>S3</t>
        </is>
      </c>
    </row>
    <row r="25">
      <c r="A25" s="4" t="inlineStr">
        <is>
          <t>AWS Backup: backup storage (one recovery point; no per-job fee)</t>
        </is>
      </c>
      <c r="B25" s="5" t="n"/>
      <c r="C25" s="5" t="n"/>
      <c r="D25" s="5" t="n"/>
      <c r="E25" s="5" t="n"/>
      <c r="F25" s="5" t="n"/>
      <c r="G25" s="5" t="n"/>
    </row>
    <row r="26">
      <c r="A26" s="6" t="inlineStr">
        <is>
          <t>AWS Backup</t>
        </is>
      </c>
      <c r="B26" s="6" t="inlineStr">
        <is>
          <t>S3 object 1 KB (billed as 128 KB)</t>
        </is>
      </c>
      <c r="C26" s="37">
        <f>'AWS Backup'!D6</f>
        <v>8.360980308219179e-09</v>
      </c>
      <c r="D26" s="37">
        <f>'AWS Backup'!E6</f>
        <v>2.0066352739726029e-07</v>
      </c>
      <c r="E26" s="37">
        <f>'AWS Backup'!F6</f>
        <v>6.103515625e-06</v>
      </c>
      <c r="F26" s="6" t="n"/>
      <c r="G26" s="8" t="inlineStr">
        <is>
          <t>AWS Backup</t>
        </is>
      </c>
    </row>
    <row r="27">
      <c r="A27" s="6" t="inlineStr">
        <is>
          <t>AWS Backup</t>
        </is>
      </c>
      <c r="B27" s="6" t="inlineStr">
        <is>
          <t>S3 object 1 MB</t>
        </is>
      </c>
      <c r="C27" s="37">
        <f>'AWS Backup'!D7</f>
        <v>6.688784246575343e-08</v>
      </c>
      <c r="D27" s="37">
        <f>'AWS Backup'!E7</f>
        <v>1.6053082191780823e-06</v>
      </c>
      <c r="E27" s="37">
        <f>'AWS Backup'!F7</f>
        <v>4.8828125e-05</v>
      </c>
      <c r="F27" s="6" t="n"/>
      <c r="G27" s="8" t="inlineStr">
        <is>
          <t>AWS Backup</t>
        </is>
      </c>
    </row>
    <row r="28">
      <c r="A28" s="6" t="inlineStr">
        <is>
          <t>AWS Backup</t>
        </is>
      </c>
      <c r="B28" s="6" t="inlineStr">
        <is>
          <t>S3 object 1 GB</t>
        </is>
      </c>
      <c r="C28" s="37">
        <f>'AWS Backup'!D8</f>
        <v>6.849315068493152e-05</v>
      </c>
      <c r="D28" s="37">
        <f>'AWS Backup'!E8</f>
        <v>0.0016438356164383563</v>
      </c>
      <c r="E28" s="37">
        <f>'AWS Backup'!F8</f>
        <v>0.05</v>
      </c>
      <c r="F28" s="6" t="n"/>
      <c r="G28" s="8" t="inlineStr">
        <is>
          <t>AWS Backup</t>
        </is>
      </c>
    </row>
    <row r="29">
      <c r="A29" s="6" t="inlineStr">
        <is>
          <t>AWS Backup</t>
        </is>
      </c>
      <c r="B29" s="6" t="inlineStr">
        <is>
          <t>EC2 instance backup, 1 GB used</t>
        </is>
      </c>
      <c r="C29" s="37">
        <f>'AWS Backup'!D9</f>
        <v>6.849315068493152e-05</v>
      </c>
      <c r="D29" s="37">
        <f>'AWS Backup'!E9</f>
        <v>0.0016438356164383563</v>
      </c>
      <c r="E29" s="37">
        <f>'AWS Backup'!F9</f>
        <v>0.05</v>
      </c>
      <c r="F29" s="6" t="n"/>
      <c r="G29" s="8" t="inlineStr">
        <is>
          <t>AWS Backup</t>
        </is>
      </c>
    </row>
    <row r="30">
      <c r="A30" s="6" t="inlineStr">
        <is>
          <t>AWS Backup</t>
        </is>
      </c>
      <c r="B30" s="6" t="inlineStr">
        <is>
          <t>EBS data volume backup, empty (ec2-09)</t>
        </is>
      </c>
      <c r="C30" s="37">
        <f>'AWS Backup'!D11</f>
        <v>0.0</v>
      </c>
      <c r="D30" s="37">
        <f>'AWS Backup'!E11</f>
        <v>0</v>
      </c>
      <c r="E30" s="37">
        <f>'AWS Backup'!F11</f>
        <v>0.0</v>
      </c>
      <c r="F30" s="6" t="n"/>
      <c r="G30" s="8" t="inlineStr">
        <is>
          <t>AWS Backup</t>
        </is>
      </c>
    </row>
    <row r="31">
      <c r="A31" s="4" t="inlineStr">
        <is>
          <t>AWS Backup: copy job to a second region (transfer once + destination storage)</t>
        </is>
      </c>
      <c r="B31" s="5" t="n"/>
      <c r="C31" s="5" t="n"/>
      <c r="D31" s="5" t="n"/>
      <c r="E31" s="5" t="n"/>
      <c r="F31" s="5" t="n"/>
      <c r="G31" s="5" t="n"/>
    </row>
    <row r="32">
      <c r="A32" s="6" t="inlineStr">
        <is>
          <t>Copy job</t>
        </is>
      </c>
      <c r="B32" s="6" t="inlineStr">
        <is>
          <t>EC2 1 GB copy</t>
        </is>
      </c>
      <c r="C32" s="37">
        <f>'AWS Backup'!F15</f>
        <v>6.849315068493152e-05</v>
      </c>
      <c r="D32" s="37">
        <f>'AWS Backup'!G15</f>
        <v>0.0016438356164383563</v>
      </c>
      <c r="E32" s="37">
        <f>'AWS Backup'!H15</f>
        <v>0.05</v>
      </c>
      <c r="F32" s="37">
        <f>'AWS Backup'!E15</f>
        <v>0.02</v>
      </c>
      <c r="G32" s="8" t="inlineStr">
        <is>
          <t>AWS Backup</t>
        </is>
      </c>
    </row>
    <row r="33">
      <c r="A33" s="6" t="inlineStr">
        <is>
          <t>Copy job</t>
        </is>
      </c>
      <c r="B33" s="6" t="inlineStr">
        <is>
          <t>EC2 8 GB copy</t>
        </is>
      </c>
      <c r="C33" s="37">
        <f>'AWS Backup'!F16</f>
        <v>0.0005479452054794521</v>
      </c>
      <c r="D33" s="37">
        <f>'AWS Backup'!G16</f>
        <v>0.01315068493150685</v>
      </c>
      <c r="E33" s="37">
        <f>'AWS Backup'!H16</f>
        <v>0.4</v>
      </c>
      <c r="F33" s="37">
        <f>'AWS Backup'!E16</f>
        <v>0.16</v>
      </c>
      <c r="G33" s="8" t="inlineStr">
        <is>
          <t>AWS Backup</t>
        </is>
      </c>
    </row>
    <row r="34">
      <c r="A34" s="6" t="inlineStr">
        <is>
          <t>Copy job</t>
        </is>
      </c>
      <c r="B34" s="6" t="inlineStr">
        <is>
          <t>S3 1 MB copy</t>
        </is>
      </c>
      <c r="C34" s="37">
        <f>'AWS Backup'!F18</f>
        <v>6.688784246575343e-08</v>
      </c>
      <c r="D34" s="37">
        <f>'AWS Backup'!G18</f>
        <v>1.6053082191780823e-06</v>
      </c>
      <c r="E34" s="37">
        <f>'AWS Backup'!H18</f>
        <v>4.8828125e-05</v>
      </c>
      <c r="F34" s="37">
        <f>'AWS Backup'!E18</f>
        <v>1.953125e-05</v>
      </c>
      <c r="G34" s="8" t="inlineStr">
        <is>
          <t>AWS Backup</t>
        </is>
      </c>
    </row>
    <row r="35">
      <c r="A35" s="6" t="inlineStr">
        <is>
          <t>Copy job</t>
        </is>
      </c>
      <c r="B35" s="6" t="inlineStr">
        <is>
          <t>S3 1 GB copy</t>
        </is>
      </c>
      <c r="C35" s="37">
        <f>'AWS Backup'!F19</f>
        <v>6.849315068493152e-05</v>
      </c>
      <c r="D35" s="37">
        <f>'AWS Backup'!G19</f>
        <v>0.0016438356164383563</v>
      </c>
      <c r="E35" s="37">
        <f>'AWS Backup'!H19</f>
        <v>0.05</v>
      </c>
      <c r="F35" s="37">
        <f>'AWS Backup'!E19</f>
        <v>0.02</v>
      </c>
      <c r="G35" s="8" t="inlineStr">
        <is>
          <t>AWS Backup</t>
        </is>
      </c>
    </row>
    <row r="36">
      <c r="A36" s="6" t="inlineStr">
        <is>
          <t>Restore</t>
        </is>
      </c>
      <c r="B36" s="6" t="inlineStr">
        <is>
          <t>S3 restore, 1 GB</t>
        </is>
      </c>
      <c r="C36" s="6" t="n"/>
      <c r="D36" s="6" t="n"/>
      <c r="E36" s="6" t="n"/>
      <c r="F36" s="37">
        <f>'AWS Backup'!D24</f>
        <v>0.02</v>
      </c>
      <c r="G36" s="8" t="inlineStr">
        <is>
          <t>AWS Backup</t>
        </is>
      </c>
    </row>
    <row r="37">
      <c r="A37" s="4" t="inlineStr">
        <is>
          <t>S3 CRR: cross-region replication (replica storage + one-time replication)</t>
        </is>
      </c>
      <c r="B37" s="5" t="n"/>
      <c r="C37" s="5" t="n"/>
      <c r="D37" s="5" t="n"/>
      <c r="E37" s="5" t="n"/>
      <c r="F37" s="5" t="n"/>
      <c r="G37" s="5" t="n"/>
    </row>
    <row r="38">
      <c r="A38" s="6" t="inlineStr">
        <is>
          <t>S3 CRR</t>
        </is>
      </c>
      <c r="B38" s="6" t="inlineStr">
        <is>
          <t>1 KB object replicated</t>
        </is>
      </c>
      <c r="C38" s="37">
        <f>'S3 CRR'!D14</f>
        <v>3.004727298266267e-11</v>
      </c>
      <c r="D38" s="37">
        <f>'S3 CRR'!E14</f>
        <v>7.21134551583904e-10</v>
      </c>
      <c r="E38" s="37">
        <f>'S3 CRR'!F14</f>
        <v>2.193450927734375e-08</v>
      </c>
      <c r="F38" s="37">
        <f>'S3 CRR'!F6</f>
        <v>5.419073486328125e-06</v>
      </c>
      <c r="G38" s="8" t="inlineStr">
        <is>
          <t>S3 CRR</t>
        </is>
      </c>
    </row>
    <row r="39">
      <c r="A39" s="6" t="inlineStr">
        <is>
          <t>S3 CRR</t>
        </is>
      </c>
      <c r="B39" s="6" t="inlineStr">
        <is>
          <t>125.2 KB object replicated (your test)</t>
        </is>
      </c>
      <c r="C39" s="37">
        <f>'S3 CRR'!D15</f>
        <v>3.761918577429367e-09</v>
      </c>
      <c r="D39" s="37">
        <f>'S3 CRR'!E15</f>
        <v>9.028604585830481e-08</v>
      </c>
      <c r="E39" s="37">
        <f>'S3 CRR'!F15</f>
        <v>2.7462005615234374e-06</v>
      </c>
      <c r="F39" s="37">
        <f>'S3 CRR'!F7</f>
        <v>7.78800048828125e-06</v>
      </c>
      <c r="G39" s="8" t="inlineStr">
        <is>
          <t>S3 CRR</t>
        </is>
      </c>
    </row>
    <row r="40">
      <c r="A40" s="6" t="inlineStr">
        <is>
          <t>S3 CRR</t>
        </is>
      </c>
      <c r="B40" s="6" t="inlineStr">
        <is>
          <t>1 MB object replicated</t>
        </is>
      </c>
      <c r="C40" s="37">
        <f>'S3 CRR'!D16</f>
        <v>3.076840753424657e-08</v>
      </c>
      <c r="D40" s="37">
        <f>'S3 CRR'!E16</f>
        <v>7.384417808219177e-07</v>
      </c>
      <c r="E40" s="37">
        <f>'S3 CRR'!F16</f>
        <v>2.24609375e-05</v>
      </c>
      <c r="F40" s="37">
        <f>'S3 CRR'!F8</f>
        <v>2.493125e-05</v>
      </c>
      <c r="G40" s="8" t="inlineStr">
        <is>
          <t>S3 CRR</t>
        </is>
      </c>
    </row>
    <row r="41">
      <c r="A41" s="6" t="inlineStr">
        <is>
          <t>S3 CRR</t>
        </is>
      </c>
      <c r="B41" s="6" t="inlineStr">
        <is>
          <t>1 GB object replicated</t>
        </is>
      </c>
      <c r="C41" s="37">
        <f>'S3 CRR'!D17</f>
        <v>3.150684931506849e-05</v>
      </c>
      <c r="D41" s="37">
        <f>'S3 CRR'!E17</f>
        <v>0.0007561643835616437</v>
      </c>
      <c r="E41" s="37">
        <f>'S3 CRR'!F17</f>
        <v>0.023</v>
      </c>
      <c r="F41" s="37">
        <f>'S3 CRR'!F9</f>
        <v>0.020005400000000003</v>
      </c>
      <c r="G41" s="8" t="inlineStr">
        <is>
          <t>S3 CRR</t>
        </is>
      </c>
    </row>
    <row r="42">
      <c r="A42" s="6" t="inlineStr">
        <is>
          <t>S3 CRR</t>
        </is>
      </c>
      <c r="B42" s="6" t="inlineStr">
        <is>
          <t>Batch Replication job for existing objects (1 object)</t>
        </is>
      </c>
      <c r="C42" s="6" t="n"/>
      <c r="D42" s="6" t="n"/>
      <c r="E42" s="6" t="n"/>
      <c r="F42" s="37">
        <f>'S3 CRR'!E22</f>
        <v>0.250001</v>
      </c>
      <c r="G42" s="8" t="inlineStr">
        <is>
          <t>S3 CRR</t>
        </is>
      </c>
    </row>
    <row r="43">
      <c r="A43" s="4" t="inlineStr">
        <is>
          <t>EC2: free-tier eligible instance types (running)</t>
        </is>
      </c>
      <c r="B43" s="5" t="n"/>
      <c r="C43" s="5" t="n"/>
      <c r="D43" s="5" t="n"/>
      <c r="E43" s="5" t="n"/>
      <c r="F43" s="5" t="n"/>
      <c r="G43" s="5" t="n"/>
    </row>
    <row r="44">
      <c r="A44" s="6" t="inlineStr">
        <is>
          <t>EC2</t>
        </is>
      </c>
      <c r="B44" s="6" t="inlineStr">
        <is>
          <t>t3.micro</t>
        </is>
      </c>
      <c r="C44" s="37">
        <f>'EC2 and EBS'!D6</f>
        <v>0.0104</v>
      </c>
      <c r="D44" s="37">
        <f>'EC2 and EBS'!E6</f>
        <v>0.2496</v>
      </c>
      <c r="E44" s="37">
        <f>'EC2 and EBS'!F6</f>
        <v>7.592</v>
      </c>
      <c r="F44" s="6" t="n"/>
      <c r="G44" s="8" t="inlineStr">
        <is>
          <t>EC2 and EBS</t>
        </is>
      </c>
    </row>
    <row r="45">
      <c r="A45" s="6" t="inlineStr">
        <is>
          <t>EC2</t>
        </is>
      </c>
      <c r="B45" s="6" t="inlineStr">
        <is>
          <t>t3.small</t>
        </is>
      </c>
      <c r="C45" s="37">
        <f>'EC2 and EBS'!D7</f>
        <v>0.0208</v>
      </c>
      <c r="D45" s="37">
        <f>'EC2 and EBS'!E7</f>
        <v>0.4992</v>
      </c>
      <c r="E45" s="37">
        <f>'EC2 and EBS'!F7</f>
        <v>15.184</v>
      </c>
      <c r="F45" s="6" t="n"/>
      <c r="G45" s="8" t="inlineStr">
        <is>
          <t>EC2 and EBS</t>
        </is>
      </c>
    </row>
    <row r="46">
      <c r="A46" s="6" t="inlineStr">
        <is>
          <t>EC2</t>
        </is>
      </c>
      <c r="B46" s="6" t="inlineStr">
        <is>
          <t>t4g.micro</t>
        </is>
      </c>
      <c r="C46" s="37">
        <f>'EC2 and EBS'!D8</f>
        <v>0.0084</v>
      </c>
      <c r="D46" s="37">
        <f>'EC2 and EBS'!E8</f>
        <v>0.2016</v>
      </c>
      <c r="E46" s="37">
        <f>'EC2 and EBS'!F8</f>
        <v>6.132</v>
      </c>
      <c r="F46" s="6" t="n"/>
      <c r="G46" s="8" t="inlineStr">
        <is>
          <t>EC2 and EBS</t>
        </is>
      </c>
    </row>
    <row r="47">
      <c r="A47" s="6" t="inlineStr">
        <is>
          <t>EC2</t>
        </is>
      </c>
      <c r="B47" s="6" t="inlineStr">
        <is>
          <t>t4g.small</t>
        </is>
      </c>
      <c r="C47" s="37">
        <f>'EC2 and EBS'!D9</f>
        <v>0.0168</v>
      </c>
      <c r="D47" s="37">
        <f>'EC2 and EBS'!E9</f>
        <v>0.4032</v>
      </c>
      <c r="E47" s="37">
        <f>'EC2 and EBS'!F9</f>
        <v>12.264</v>
      </c>
      <c r="F47" s="6" t="n"/>
      <c r="G47" s="8" t="inlineStr">
        <is>
          <t>EC2 and EBS</t>
        </is>
      </c>
    </row>
    <row r="48">
      <c r="A48" s="6" t="inlineStr">
        <is>
          <t>EC2</t>
        </is>
      </c>
      <c r="B48" s="6" t="inlineStr">
        <is>
          <t>Any instance, stopped</t>
        </is>
      </c>
      <c r="C48" s="37">
        <f>'EC2 and EBS'!D11</f>
        <v>0</v>
      </c>
      <c r="D48" s="37">
        <f>'EC2 and EBS'!E11</f>
        <v>0</v>
      </c>
      <c r="E48" s="37">
        <f>'EC2 and EBS'!F11</f>
        <v>0</v>
      </c>
      <c r="F48" s="6" t="n"/>
      <c r="G48" s="8" t="inlineStr">
        <is>
          <t>EC2 and EBS</t>
        </is>
      </c>
    </row>
    <row r="49">
      <c r="A49" s="6" t="inlineStr">
        <is>
          <t>EC2</t>
        </is>
      </c>
      <c r="B49" s="6" t="inlineStr">
        <is>
          <t>Public IPv4 (auto-assigned, ec2-01 to ec2-07, while running)</t>
        </is>
      </c>
      <c r="C49" s="37">
        <f>'EC2 and EBS'!D12</f>
        <v>0.005</v>
      </c>
      <c r="D49" s="37">
        <f>'EC2 and EBS'!E12</f>
        <v>0.12</v>
      </c>
      <c r="E49" s="37">
        <f>'EC2 and EBS'!F12</f>
        <v>3.65</v>
      </c>
      <c r="F49" s="6" t="n"/>
      <c r="G49" s="8" t="inlineStr">
        <is>
          <t>EC2 and EBS</t>
        </is>
      </c>
    </row>
    <row r="50">
      <c r="A50" s="4" t="inlineStr">
        <is>
          <t>EBS: volume and snapshot with minimum configuration</t>
        </is>
      </c>
      <c r="B50" s="5" t="n"/>
      <c r="C50" s="5" t="n"/>
      <c r="D50" s="5" t="n"/>
      <c r="E50" s="5" t="n"/>
      <c r="F50" s="5" t="n"/>
      <c r="G50" s="5" t="n"/>
    </row>
    <row r="51">
      <c r="A51" s="6" t="inlineStr">
        <is>
          <t>EBS</t>
        </is>
      </c>
      <c r="B51" s="6" t="inlineStr">
        <is>
          <t>gp3 volume, 1 GiB (minimum)</t>
        </is>
      </c>
      <c r="C51" s="37">
        <f>'EC2 and EBS'!D16</f>
        <v>0.00010958904109589041</v>
      </c>
      <c r="D51" s="37">
        <f>'EC2 and EBS'!E16</f>
        <v>0.00263013698630137</v>
      </c>
      <c r="E51" s="37">
        <f>'EC2 and EBS'!F16</f>
        <v>0.08</v>
      </c>
      <c r="F51" s="6" t="n"/>
      <c r="G51" s="8" t="inlineStr">
        <is>
          <t>EC2 and EBS</t>
        </is>
      </c>
    </row>
    <row r="52">
      <c r="A52" s="6" t="inlineStr">
        <is>
          <t>EBS</t>
        </is>
      </c>
      <c r="B52" s="6" t="inlineStr">
        <is>
          <t>gp3 volume, 8 GiB (AL2023 root minimum)</t>
        </is>
      </c>
      <c r="C52" s="37">
        <f>'EC2 and EBS'!D17</f>
        <v>0.0008767123287671233</v>
      </c>
      <c r="D52" s="37">
        <f>'EC2 and EBS'!E17</f>
        <v>0.02104109589041096</v>
      </c>
      <c r="E52" s="37">
        <f>'EC2 and EBS'!F17</f>
        <v>0.64</v>
      </c>
      <c r="F52" s="6" t="n"/>
      <c r="G52" s="8" t="inlineStr">
        <is>
          <t>EC2 and EBS</t>
        </is>
      </c>
    </row>
    <row r="53">
      <c r="A53" s="6" t="inlineStr">
        <is>
          <t>EBS snapshot</t>
        </is>
      </c>
      <c r="B53" s="6" t="inlineStr">
        <is>
          <t>1 GB used</t>
        </is>
      </c>
      <c r="C53" s="37">
        <f>'EC2 and EBS'!D22</f>
        <v>6.849315068493152e-05</v>
      </c>
      <c r="D53" s="37">
        <f>'EC2 and EBS'!E22</f>
        <v>0.0016438356164383563</v>
      </c>
      <c r="E53" s="37">
        <f>'EC2 and EBS'!F22</f>
        <v>0.05</v>
      </c>
      <c r="F53" s="6" t="n"/>
      <c r="G53" s="8" t="inlineStr">
        <is>
          <t>EC2 and EBS</t>
        </is>
      </c>
    </row>
    <row r="54">
      <c r="A54" s="6" t="inlineStr">
        <is>
          <t>EBS snapshot</t>
        </is>
      </c>
      <c r="B54" s="6" t="inlineStr">
        <is>
          <t>1 GB used</t>
        </is>
      </c>
      <c r="C54" s="37">
        <f>'EC2 and EBS'!D23</f>
        <v>6.849315068493152e-05</v>
      </c>
      <c r="D54" s="37">
        <f>'EC2 and EBS'!E23</f>
        <v>0.0016438356164383563</v>
      </c>
      <c r="E54" s="37">
        <f>'EC2 and EBS'!F23</f>
        <v>0.05</v>
      </c>
      <c r="F54" s="6" t="n"/>
      <c r="G54" s="8" t="inlineStr">
        <is>
          <t>EC2 and EBS</t>
        </is>
      </c>
    </row>
    <row r="55">
      <c r="A55" s="6" t="inlineStr">
        <is>
          <t>EBS snapshot</t>
        </is>
      </c>
      <c r="B55" s="6" t="inlineStr">
        <is>
          <t>8 GB used (full 8 GiB volume)</t>
        </is>
      </c>
      <c r="C55" s="37">
        <f>'EC2 and EBS'!D24</f>
        <v>0.0005479452054794521</v>
      </c>
      <c r="D55" s="37">
        <f>'EC2 and EBS'!E24</f>
        <v>0.01315068493150685</v>
      </c>
      <c r="E55" s="37">
        <f>'EC2 and EBS'!F24</f>
        <v>0.4</v>
      </c>
      <c r="F55" s="6" t="n"/>
      <c r="G55" s="8" t="inlineStr">
        <is>
          <t>EC2 and EBS</t>
        </is>
      </c>
    </row>
    <row r="56">
      <c r="A56" s="4" t="inlineStr">
        <is>
          <t>Whole stacks</t>
        </is>
      </c>
      <c r="B56" s="5" t="n"/>
      <c r="C56" s="5" t="n"/>
      <c r="D56" s="5" t="n"/>
      <c r="E56" s="5" t="n"/>
      <c r="F56" s="5" t="n"/>
      <c r="G56" s="5" t="n"/>
    </row>
    <row r="57">
      <c r="A57" s="6" t="inlineStr">
        <is>
          <t>Stack</t>
        </is>
      </c>
      <c r="B57" s="6" t="inlineStr">
        <is>
          <t>t3.micro running + public IPv4 + 8 GiB root + 1 GB snapshot</t>
        </is>
      </c>
      <c r="C57" s="37">
        <f>'EC2 and EBS'!D33</f>
        <v>0.016345205479452056</v>
      </c>
      <c r="D57" s="37">
        <f>'EC2 and EBS'!E33</f>
        <v>0.3922849315068493</v>
      </c>
      <c r="E57" s="37">
        <f>'EC2 and EBS'!F33</f>
        <v>11.932</v>
      </c>
      <c r="F57" s="6" t="n"/>
      <c r="G57" s="8" t="inlineStr">
        <is>
          <t>EC2 and EBS</t>
        </is>
      </c>
    </row>
    <row r="58">
      <c r="A58" s="6" t="inlineStr">
        <is>
          <t>Stack</t>
        </is>
      </c>
      <c r="B58" s="6" t="inlineStr">
        <is>
          <t>Same, instance stopped</t>
        </is>
      </c>
      <c r="C58" s="37">
        <f>'EC2 and EBS'!D34</f>
        <v>0.0009452054794520548</v>
      </c>
      <c r="D58" s="37">
        <f>'EC2 and EBS'!E34</f>
        <v>0.022684931506849314</v>
      </c>
      <c r="E58" s="37">
        <f>'EC2 and EBS'!F34</f>
        <v>0.6900000000000001</v>
      </c>
      <c r="F58" s="6" t="n"/>
      <c r="G58" s="8" t="inlineStr">
        <is>
          <t>EC2 and EBS</t>
        </is>
      </c>
    </row>
    <row r="59">
      <c r="A59" s="6" t="inlineStr">
        <is>
          <t>Stack</t>
        </is>
      </c>
      <c r="B59" s="6" t="inlineStr">
        <is>
          <t>EC2 backed up + copied to 2nd region, first month</t>
        </is>
      </c>
      <c r="C59" s="6" t="n"/>
      <c r="D59" s="6" t="n"/>
      <c r="E59" s="37">
        <f>'AWS Backup'!B33</f>
        <v>0.12000000000000001</v>
      </c>
      <c r="F59" s="6" t="n"/>
      <c r="G59" s="8" t="inlineStr">
        <is>
          <t>AWS Backup</t>
        </is>
      </c>
    </row>
    <row r="60"/>
    <row r="61" ht="42" customHeight="1">
      <c r="A61" s="12" t="inlineStr">
        <is>
          <t>Reading the numbers: values under $0.0001 are shown in scientific notation (3.02E-11 = 0.0000000000302); on the stack rows a '-' means $0. Day = hour x 24; month uses 730 hours. 'One-time' columns are charged once, not per hour. One rate is unconfirmed (AWS Backup S3 cross-region transfer, flagged in red on the Rates sheet).</t>
        </is>
      </c>
    </row>
  </sheetData>
  <mergeCells count="1">
    <mergeCell ref="A61:G6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1"/>
  <sheetViews>
    <sheetView showGridLines="0" workbookViewId="0">
      <pane ySplit="3" topLeftCell="A4" activePane="bottomLeft" state="frozen"/>
      <selection pane="bottomLeft" activeCell="A1" sqref="A1"/>
    </sheetView>
  </sheetViews>
  <sheetFormatPr baseColWidth="8" defaultRowHeight="15"/>
  <cols>
    <col width="18" customWidth="1" min="1" max="1"/>
    <col width="50" customWidth="1" min="2" max="2"/>
    <col width="15" customWidth="1" min="3" max="3"/>
    <col width="17" customWidth="1" min="4" max="4"/>
    <col width="15" customWidth="1" min="5" max="5"/>
    <col width="13" customWidth="1" min="6" max="6"/>
    <col width="15" customWidth="1" min="7" max="7"/>
  </cols>
  <sheetData>
    <row r="1">
      <c r="A1" s="1" t="inlineStr">
        <is>
          <t>Cost per folder</t>
        </is>
      </c>
    </row>
    <row r="2" ht="36" customHeight="1">
      <c r="A2" s="47" t="inlineStr">
        <is>
          <t>Every Terraform folder as deployed, us-east-1 list prices in USD. EC2 rows link to the 'Our stacks' sheet; S3 rows use the Rates sheet and the bucket size in 'Our stacks'!C6. One-time costs (first cross-region copy) are on the 'Our stacks' sheet.</t>
        </is>
      </c>
    </row>
    <row r="3"/>
    <row r="4">
      <c r="A4" s="4" t="inlineStr">
        <is>
          <t>A. EC2 folders (ec2/): every instance is left running</t>
        </is>
      </c>
      <c r="B4" s="4" t="n"/>
      <c r="C4" s="4" t="n"/>
      <c r="D4" s="4" t="n"/>
      <c r="E4" s="4" t="n"/>
      <c r="F4" s="4" t="n"/>
      <c r="G4" s="4" t="n"/>
    </row>
    <row r="5" ht="30" customHeight="1">
      <c r="A5" s="48" t="inlineStr">
        <is>
          <t>Folder</t>
        </is>
      </c>
      <c r="B5" s="48" t="inlineStr">
        <is>
          <t>What it creates</t>
        </is>
      </c>
      <c r="C5" s="3" t="inlineStr">
        <is>
          <t>Per hour (USD)</t>
        </is>
      </c>
      <c r="D5" s="3" t="inlineStr">
        <is>
          <t>If stopped, per hour (USD)</t>
        </is>
      </c>
      <c r="E5" s="3" t="inlineStr">
        <is>
          <t>Per month (USD)</t>
        </is>
      </c>
    </row>
    <row r="6">
      <c r="A6" s="49" t="str">
        <f>'Our stacks'!A10</f>
        <v>ec2-01</v>
      </c>
      <c r="B6" s="50" t="str">
        <f>'Our stacks'!B10</f>
        <v>Instance + 8 GiB root. No protection</v>
      </c>
      <c r="C6" s="51">
        <f>'Our stacks'!J10</f>
        <v>0.016276712328767123</v>
      </c>
      <c r="D6" s="51">
        <f>'Our stacks'!O10</f>
        <v>0.0008767123287671233</v>
      </c>
      <c r="E6" s="52">
        <f>'Our stacks'!L10</f>
        <v>11.882</v>
      </c>
    </row>
    <row r="7">
      <c r="A7" s="49" t="str">
        <f>'Our stacks'!A11</f>
        <v>ec2-02</v>
      </c>
      <c r="B7" s="50" t="str">
        <f>'Our stacks'!B11</f>
        <v>Instance + encrypted 1 GiB data volume</v>
      </c>
      <c r="C7" s="51">
        <f>'Our stacks'!J11</f>
        <v>0.016386301369863014</v>
      </c>
      <c r="D7" s="51">
        <f>'Our stacks'!O11</f>
        <v>0.0009863013698630137</v>
      </c>
      <c r="E7" s="52">
        <f>'Our stacks'!L11</f>
        <v>11.962</v>
      </c>
    </row>
    <row r="8">
      <c r="A8" s="49" t="str">
        <f>'Our stacks'!A12</f>
        <v>ec2-03</v>
      </c>
      <c r="B8" s="50" t="str">
        <f>'Our stacks'!B12</f>
        <v>+ data volume + 1 EBS snapshot</v>
      </c>
      <c r="C8" s="51">
        <f>'Our stacks'!J12</f>
        <v>0.016386301369863014</v>
      </c>
      <c r="D8" s="51">
        <f>'Our stacks'!O12</f>
        <v>0.0009863013698630137</v>
      </c>
      <c r="E8" s="52">
        <f>'Our stacks'!L12</f>
        <v>11.962</v>
      </c>
    </row>
    <row r="9">
      <c r="A9" s="49" t="str">
        <f>'Our stacks'!A13</f>
        <v>ec2-04</v>
      </c>
      <c r="B9" s="50" t="str">
        <f>'Our stacks'!B13</f>
        <v>+ data volume + snapshot + AMI</v>
      </c>
      <c r="C9" s="51">
        <f>'Our stacks'!J13</f>
        <v>0.016454794520547947</v>
      </c>
      <c r="D9" s="51">
        <f>'Our stacks'!O13</f>
        <v>0.0010547945205479452</v>
      </c>
      <c r="E9" s="52">
        <f>'Our stacks'!L13</f>
        <v>12.012</v>
      </c>
    </row>
    <row r="10">
      <c r="A10" s="49" t="str">
        <f>'Our stacks'!A14</f>
        <v>ec2-05</v>
      </c>
      <c r="B10" s="50" t="str">
        <f>'Our stacks'!B14</f>
        <v>+ data volume + DLM (24 h, keep 1)</v>
      </c>
      <c r="C10" s="51">
        <f>'Our stacks'!J14</f>
        <v>0.016454794520547947</v>
      </c>
      <c r="D10" s="51">
        <f>'Our stacks'!O14</f>
        <v>0.0010547945205479452</v>
      </c>
      <c r="E10" s="52">
        <f>'Our stacks'!L14</f>
        <v>12.012</v>
      </c>
    </row>
    <row r="11">
      <c r="A11" s="49" t="str">
        <f>'Our stacks'!A15</f>
        <v>ec2-06</v>
      </c>
      <c r="B11" s="50" t="str">
        <f>'Our stacks'!B15</f>
        <v>Instance backup, 1 vault, no copy, no lock</v>
      </c>
      <c r="C11" s="51">
        <f>'Our stacks'!J15</f>
        <v>0.016345205479452056</v>
      </c>
      <c r="D11" s="51">
        <f>'Our stacks'!O15</f>
        <v>0.0009452054794520548</v>
      </c>
      <c r="E11" s="52">
        <f>'Our stacks'!L15</f>
        <v>11.932</v>
      </c>
    </row>
    <row r="12">
      <c r="A12" s="49" t="str">
        <f>'Our stacks'!A16</f>
        <v>ec2-07</v>
      </c>
      <c r="B12" s="50" t="str">
        <f>'Our stacks'!B16</f>
        <v>Instance backup + copy to DR vault (DR locked)</v>
      </c>
      <c r="C12" s="51">
        <f>'Our stacks'!J16</f>
        <v>0.01641369863013699</v>
      </c>
      <c r="D12" s="51">
        <f>'Our stacks'!O16</f>
        <v>0.0010136986301369864</v>
      </c>
      <c r="E12" s="52">
        <f>'Our stacks'!L16</f>
        <v>11.982000000000001</v>
      </c>
    </row>
    <row r="13">
      <c r="A13" s="49" t="str">
        <f>'Our stacks'!A17</f>
        <v>ec2-08</v>
      </c>
      <c r="B13" s="50" t="str">
        <f>'Our stacks'!B17</f>
        <v>Instance backup + copy to DR vault (DR locked)</v>
      </c>
      <c r="C13" s="51">
        <f>'Our stacks'!J17</f>
        <v>0.011413698630136986</v>
      </c>
      <c r="D13" s="51">
        <f>'Our stacks'!O17</f>
        <v>0.0010136986301369864</v>
      </c>
      <c r="E13" s="52">
        <f>'Our stacks'!L17</f>
        <v>8.331999999999999</v>
      </c>
    </row>
    <row r="14">
      <c r="A14" s="49" t="str">
        <f>'Our stacks'!A18</f>
        <v>ec2-09</v>
      </c>
      <c r="B14" s="50" t="str">
        <f>'Our stacks'!B18</f>
        <v>Data-volume backup + copy to DR vault (DR locked)</v>
      </c>
      <c r="C14" s="51">
        <f>'Our stacks'!J18</f>
        <v>0.011386301369863013</v>
      </c>
      <c r="D14" s="51">
        <f>'Our stacks'!O18</f>
        <v>0.0009863013698630137</v>
      </c>
      <c r="E14" s="52">
        <f>'Our stacks'!L18</f>
        <v>8.312</v>
      </c>
    </row>
    <row r="15">
      <c r="A15" s="49" t="str">
        <f>'Our stacks'!A19</f>
        <v>ec2-backup-dr</v>
      </c>
      <c r="B15" s="50" t="str">
        <f>'Our stacks'!B19</f>
        <v>Instance + data volume backup + copy to DR (DR locked)</v>
      </c>
      <c r="C15" s="51">
        <f>'Our stacks'!J19</f>
        <v>0.011523287671232877</v>
      </c>
      <c r="D15" s="51">
        <f>'Our stacks'!O19</f>
        <v>0.0011232876712328767</v>
      </c>
      <c r="E15" s="52">
        <f>'Our stacks'!L19</f>
        <v>8.412</v>
      </c>
    </row>
    <row r="16">
      <c r="A16" s="53" t="inlineStr">
        <is>
          <t>All 10 EC2 folders</t>
        </is>
      </c>
      <c r="B16" s="53" t="n"/>
      <c r="C16" s="54">
        <f>SUM(C6:C15)</f>
        <v>0.14904109589041098</v>
      </c>
      <c r="D16" s="54">
        <f>SUM(D6:D15)</f>
        <v>0.010041095890410958</v>
      </c>
      <c r="E16" s="55">
        <f>SUM(E6:E15)</f>
        <v>108.8</v>
      </c>
    </row>
    <row r="17"/>
    <row r="18">
      <c r="A18" s="4" t="inlineStr">
        <is>
          <t>B. S3 folders (s3/): cost per GB of bucket data; an empty bucket costs $0</t>
        </is>
      </c>
      <c r="B18" s="4" t="n"/>
      <c r="C18" s="4" t="n"/>
      <c r="D18" s="4" t="n"/>
      <c r="E18" s="4" t="n"/>
      <c r="F18" s="4" t="n"/>
      <c r="G18" s="4" t="n"/>
    </row>
    <row r="19" ht="30" customHeight="1">
      <c r="A19" s="48" t="inlineStr">
        <is>
          <t>Folder</t>
        </is>
      </c>
      <c r="B19" s="48" t="inlineStr">
        <is>
          <t>What it creates</t>
        </is>
      </c>
      <c r="C19" s="3" t="inlineStr">
        <is>
          <t>Per hour (USD)</t>
        </is>
      </c>
      <c r="D19" s="3" t="inlineStr">
        <is>
          <t>If empty, per hour (USD)</t>
        </is>
      </c>
      <c r="E19" s="3" t="inlineStr">
        <is>
          <t>Per month (USD)</t>
        </is>
      </c>
      <c r="F19" s="3" t="inlineStr">
        <is>
          <t>S3 copies of each GB</t>
        </is>
      </c>
      <c r="G19" s="3" t="inlineStr">
        <is>
          <t>Backup vault copies of each GB</t>
        </is>
      </c>
    </row>
    <row r="20">
      <c r="A20" s="9" t="inlineStr">
        <is>
          <t>s3-01</t>
        </is>
      </c>
      <c r="B20" s="6" t="inlineStr">
        <is>
          <t>Bare bucket, public access blocked</t>
        </is>
      </c>
      <c r="C20" s="56">
        <f>E20/Rates!$B$4</f>
        <v>3.150684931506849e-05</v>
      </c>
      <c r="D20" s="57" t="n">
        <v>0</v>
      </c>
      <c r="E20" s="58">
        <f>'Our stacks'!$C$6*(F20*Rates!$B$10+G20*Rates!$B$20)</f>
        <v>0.023</v>
      </c>
      <c r="F20" s="59" t="n">
        <v>1</v>
      </c>
      <c r="G20" s="59" t="n">
        <v>0</v>
      </c>
    </row>
    <row r="21">
      <c r="A21" s="9" t="inlineStr">
        <is>
          <t>s3-02</t>
        </is>
      </c>
      <c r="B21" s="6" t="inlineStr">
        <is>
          <t>Bucket + versioning</t>
        </is>
      </c>
      <c r="C21" s="56">
        <f>E21/Rates!$B$4</f>
        <v>3.150684931506849e-05</v>
      </c>
      <c r="D21" s="57" t="n">
        <v>0</v>
      </c>
      <c r="E21" s="58">
        <f>'Our stacks'!$C$6*(F21*Rates!$B$10+G21*Rates!$B$20)</f>
        <v>0.023</v>
      </c>
      <c r="F21" s="59" t="n">
        <v>1</v>
      </c>
      <c r="G21" s="59" t="n">
        <v>0</v>
      </c>
    </row>
    <row r="22">
      <c r="A22" s="9" t="inlineStr">
        <is>
          <t>s3-03</t>
        </is>
      </c>
      <c r="B22" s="6" t="inlineStr">
        <is>
          <t>Versioning + lifecycle rule + SSE-S3 encryption</t>
        </is>
      </c>
      <c r="C22" s="56">
        <f>E22/Rates!$B$4</f>
        <v>3.150684931506849e-05</v>
      </c>
      <c r="D22" s="57" t="n">
        <v>0</v>
      </c>
      <c r="E22" s="58">
        <f>'Our stacks'!$C$6*(F22*Rates!$B$10+G22*Rates!$B$20)</f>
        <v>0.023</v>
      </c>
      <c r="F22" s="59" t="n">
        <v>1</v>
      </c>
      <c r="G22" s="59" t="n">
        <v>0</v>
      </c>
    </row>
    <row r="23">
      <c r="A23" s="9" t="inlineStr">
        <is>
          <t>s3-04</t>
        </is>
      </c>
      <c r="B23" s="6" t="inlineStr">
        <is>
          <t>Cross-region replication (CRR) to us-west-2</t>
        </is>
      </c>
      <c r="C23" s="56">
        <f>E23/Rates!$B$4</f>
        <v>6.301369863013698e-05</v>
      </c>
      <c r="D23" s="57" t="n">
        <v>0</v>
      </c>
      <c r="E23" s="58">
        <f>'Our stacks'!$C$6*(F23*Rates!$B$10+G23*Rates!$B$20)</f>
        <v>0.046</v>
      </c>
      <c r="F23" s="59" t="n">
        <v>2</v>
      </c>
      <c r="G23" s="59" t="n">
        <v>0</v>
      </c>
    </row>
    <row r="24">
      <c r="A24" s="9" t="inlineStr">
        <is>
          <t>s3-05</t>
        </is>
      </c>
      <c r="B24" s="6" t="inlineStr">
        <is>
          <t>AWS Backup, 1 vault, no copy, no lock</t>
        </is>
      </c>
      <c r="C24" s="56">
        <f>E24/Rates!$B$4</f>
        <v>0.00010000000000000002</v>
      </c>
      <c r="D24" s="57" t="n">
        <v>0</v>
      </c>
      <c r="E24" s="58">
        <f>'Our stacks'!$C$6*(F24*Rates!$B$10+G24*Rates!$B$20)</f>
        <v>0.07300000000000001</v>
      </c>
      <c r="F24" s="59" t="n">
        <v>1</v>
      </c>
      <c r="G24" s="59" t="n">
        <v>1</v>
      </c>
    </row>
    <row r="25">
      <c r="A25" s="9" t="inlineStr">
        <is>
          <t>s3-06</t>
        </is>
      </c>
      <c r="B25" s="6" t="inlineStr">
        <is>
          <t>AWS Backup + copy to DR vault (no lock)</t>
        </is>
      </c>
      <c r="C25" s="56">
        <f>E25/Rates!$B$4</f>
        <v>0.0001684931506849315</v>
      </c>
      <c r="D25" s="57" t="n">
        <v>0</v>
      </c>
      <c r="E25" s="58">
        <f>'Our stacks'!$C$6*(F25*Rates!$B$10+G25*Rates!$B$20)</f>
        <v>0.123</v>
      </c>
      <c r="F25" s="59" t="n">
        <v>1</v>
      </c>
      <c r="G25" s="59" t="n">
        <v>2</v>
      </c>
    </row>
    <row r="26">
      <c r="A26" s="9" t="inlineStr">
        <is>
          <t>s3-07</t>
        </is>
      </c>
      <c r="B26" s="6" t="inlineStr">
        <is>
          <t>S3 Object Lock (governance)</t>
        </is>
      </c>
      <c r="C26" s="56">
        <f>E26/Rates!$B$4</f>
        <v>3.150684931506849e-05</v>
      </c>
      <c r="D26" s="57" t="n">
        <v>0</v>
      </c>
      <c r="E26" s="58">
        <f>'Our stacks'!$C$6*(F26*Rates!$B$10+G26*Rates!$B$20)</f>
        <v>0.023</v>
      </c>
      <c r="F26" s="59" t="n">
        <v>1</v>
      </c>
      <c r="G26" s="59" t="n">
        <v>0</v>
      </c>
    </row>
    <row r="27">
      <c r="A27" s="9" t="inlineStr">
        <is>
          <t>s3-08</t>
        </is>
      </c>
      <c r="B27" s="6" t="inlineStr">
        <is>
          <t>CRR + SRR + Object Lock (3 buckets)</t>
        </is>
      </c>
      <c r="C27" s="56">
        <f>E27/Rates!$B$4</f>
        <v>9.452054794520548e-05</v>
      </c>
      <c r="D27" s="57" t="n">
        <v>0</v>
      </c>
      <c r="E27" s="58">
        <f>'Our stacks'!$C$6*(F27*Rates!$B$10+G27*Rates!$B$20)</f>
        <v>0.069</v>
      </c>
      <c r="F27" s="59" t="n">
        <v>3</v>
      </c>
      <c r="G27" s="59" t="n">
        <v>0</v>
      </c>
    </row>
    <row r="28">
      <c r="A28" s="9" t="inlineStr">
        <is>
          <t>s3-backup-dr</t>
        </is>
      </c>
      <c r="B28" s="6" t="inlineStr">
        <is>
          <t>AWS Backup + copy to DR vault (DR locked, compliance)</t>
        </is>
      </c>
      <c r="C28" s="56">
        <f>E28/Rates!$B$4</f>
        <v>0.0001684931506849315</v>
      </c>
      <c r="D28" s="57" t="n">
        <v>0</v>
      </c>
      <c r="E28" s="58">
        <f>'Our stacks'!$C$6*(F28*Rates!$B$10+G28*Rates!$B$20)</f>
        <v>0.123</v>
      </c>
      <c r="F28" s="59" t="n">
        <v>1</v>
      </c>
      <c r="G28" s="59" t="n">
        <v>2</v>
      </c>
    </row>
    <row r="29">
      <c r="A29" s="9" t="inlineStr">
        <is>
          <t>s3-replication</t>
        </is>
      </c>
      <c r="B29" s="6" t="inlineStr">
        <is>
          <t>CRR + SRR + Object Lock + SSE-S3 (3 buckets)</t>
        </is>
      </c>
      <c r="C29" s="56">
        <f>E29/Rates!$B$4</f>
        <v>9.452054794520548e-05</v>
      </c>
      <c r="D29" s="57" t="n">
        <v>0</v>
      </c>
      <c r="E29" s="58">
        <f>'Our stacks'!$C$6*(F29*Rates!$B$10+G29*Rates!$B$20)</f>
        <v>0.069</v>
      </c>
      <c r="F29" s="59" t="n">
        <v>3</v>
      </c>
      <c r="G29" s="59" t="n">
        <v>0</v>
      </c>
    </row>
    <row r="30">
      <c r="A30" s="53" t="inlineStr">
        <is>
          <t>All 10 S3 folders</t>
        </is>
      </c>
      <c r="B30" s="53" t="n"/>
      <c r="C30" s="54">
        <f>SUM(C20:C29)</f>
        <v>0.000815068493150685</v>
      </c>
      <c r="D30" s="54">
        <f>SUM(D20:D29)</f>
        <v>0</v>
      </c>
      <c r="E30" s="55">
        <f>SUM(E20:E29)</f>
        <v>0.595</v>
      </c>
      <c r="F30" s="53" t="n"/>
      <c r="G30" s="53" t="n"/>
    </row>
    <row r="31" ht="36" customHeight="1">
      <c r="A31" s="47" t="inlineStr">
        <is>
          <t>Per month = bucket GB ('Our stacks'!C6, now 1 GB) x (S3 copies x S3 Standard rate + vault copies x AWS Backup rate). Not included: requests ($0.005 per 1,000 PUTs), the one-time $0.02/GB for CRR and cross-region backup copies, and old versions kept by versioning or Object Lock.</t>
        </is>
      </c>
    </row>
  </sheetData>
  <mergeCells count="2">
    <mergeCell ref="A31:G31"/>
    <mergeCell ref="A2:G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showGridLines="0" workbookViewId="0">
      <pane xSplit="2" ySplit="9" topLeftCell="C10"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44" customWidth="1" min="2" max="2"/>
    <col width="12" customWidth="1" min="3" max="3"/>
    <col width="10" customWidth="1" min="4" max="4"/>
    <col width="12" customWidth="1" min="5" max="5"/>
    <col width="12" customWidth="1" min="6" max="6"/>
    <col width="12" customWidth="1" min="7" max="7"/>
    <col width="12" customWidth="1" min="8" max="8"/>
    <col width="13" customWidth="1" min="9" max="9"/>
    <col width="14" customWidth="1" min="10" max="10"/>
    <col width="14" customWidth="1" min="11" max="11"/>
    <col width="14" customWidth="1" min="12" max="12"/>
    <col width="14" customWidth="1" min="13" max="13"/>
    <col width="14" customWidth="1" min="14" max="14"/>
    <col width="14" customWidth="1" min="15" max="15"/>
    <col width="58" customWidth="1" min="16" max="16"/>
  </cols>
  <sheetData>
    <row r="1" ht="17.35" customHeight="1">
      <c r="A1" s="1" t="inlineStr">
        <is>
          <t>Our Terraform stacks: cost of each folder as the scripts deploy it</t>
        </is>
      </c>
    </row>
    <row r="2" ht="39" customHeight="1">
      <c r="A2" s="12" t="inlineStr">
        <is>
          <t>One row per folder in ec2/ and per AWS Backup folder in s3/. Quantities follow each main.tf; rates come from the Rates sheet. Per hour = compute + public IPv4 (while running) + EBS + snapshots + vault storage. One-time = the first cross-region copy, made by the first daily copy, or at apply in ec2-07 and ec2-09 (one on-demand backup job + one copy job). ec2-06, ec2-08 and ec2-backup-dr print the on-demand commands to run by hand. Every later daily copy sends only changed blocks.</t>
        </is>
      </c>
    </row>
    <row r="3"/>
    <row r="4">
      <c r="A4" s="13" t="inlineStr">
        <is>
          <t>Root volume used data (GB)</t>
        </is>
      </c>
      <c r="C4" s="14" t="n">
        <v>1</v>
      </c>
      <c r="D4" s="15" t="inlineStr">
        <is>
          <t>Used data on the 8 GiB AL2023 root, so the size of its snapshot / backup. Set to 1 GB, the same figure the ec2 script cost comments use.</t>
        </is>
      </c>
      <c r="E4" s="16" t="n"/>
      <c r="F4" s="16" t="n"/>
      <c r="G4" s="16" t="n"/>
      <c r="H4" s="16" t="n"/>
      <c r="I4" s="16" t="n"/>
      <c r="J4" s="16" t="n"/>
      <c r="K4" s="16" t="n"/>
      <c r="L4" s="16" t="n"/>
      <c r="M4" s="16" t="n"/>
      <c r="N4" s="16" t="n"/>
      <c r="O4" s="16" t="n"/>
      <c r="P4" s="17" t="n"/>
    </row>
    <row r="5">
      <c r="A5" s="13" t="inlineStr">
        <is>
          <t>Data volume used data (GB)</t>
        </is>
      </c>
      <c r="C5" s="14" t="n">
        <v>0</v>
      </c>
      <c r="D5" s="15" t="inlineStr">
        <is>
          <t>New 1 GiB data volumes are empty, so their snapshots and backups are ~0 GB. Set to what you write.</t>
        </is>
      </c>
      <c r="E5" s="16" t="n"/>
      <c r="F5" s="16" t="n"/>
      <c r="G5" s="16" t="n"/>
      <c r="H5" s="16" t="n"/>
      <c r="I5" s="16" t="n"/>
      <c r="J5" s="16" t="n"/>
      <c r="K5" s="16" t="n"/>
      <c r="L5" s="16" t="n"/>
      <c r="M5" s="16" t="n"/>
      <c r="N5" s="16" t="n"/>
      <c r="O5" s="16" t="n"/>
      <c r="P5" s="17" t="n"/>
    </row>
    <row r="6">
      <c r="A6" s="13" t="inlineStr">
        <is>
          <t>Data in each S3 bucket (GB)</t>
        </is>
      </c>
      <c r="C6" s="14" t="n">
        <v>1</v>
      </c>
      <c r="D6" s="15" t="inlineStr">
        <is>
          <t>The buckets are created empty ($0). The S3 scripts quote their costs per 1 GB of data.</t>
        </is>
      </c>
      <c r="E6" s="16" t="n"/>
      <c r="F6" s="16" t="n"/>
      <c r="G6" s="16" t="n"/>
      <c r="H6" s="16" t="n"/>
      <c r="I6" s="16" t="n"/>
      <c r="J6" s="16" t="n"/>
      <c r="K6" s="16" t="n"/>
      <c r="L6" s="16" t="n"/>
      <c r="M6" s="16" t="n"/>
      <c r="N6" s="16" t="n"/>
      <c r="O6" s="16" t="n"/>
      <c r="P6" s="17" t="n"/>
    </row>
    <row r="7"/>
    <row r="8">
      <c r="A8" s="4" t="inlineStr">
        <is>
          <t>A. EC2 folders (ec2/)</t>
        </is>
      </c>
      <c r="B8" s="5" t="n"/>
      <c r="C8" s="5" t="n"/>
      <c r="D8" s="5" t="n"/>
      <c r="E8" s="5" t="n"/>
      <c r="F8" s="5" t="n"/>
      <c r="G8" s="5" t="n"/>
      <c r="H8" s="5" t="n"/>
      <c r="I8" s="5" t="n"/>
      <c r="J8" s="5" t="n"/>
      <c r="K8" s="5" t="n"/>
      <c r="L8" s="5" t="n"/>
      <c r="M8" s="5" t="n"/>
      <c r="N8" s="5" t="n"/>
      <c r="O8" s="5" t="n"/>
      <c r="P8" s="5" t="n"/>
    </row>
    <row r="9" ht="45" customHeight="1">
      <c r="A9" s="3" t="inlineStr">
        <is>
          <t>Folder</t>
        </is>
      </c>
      <c r="B9" s="3" t="inlineStr">
        <is>
          <t>What it creates</t>
        </is>
      </c>
      <c r="C9" s="3" t="inlineStr">
        <is>
          <t>Instance as deployed</t>
        </is>
      </c>
      <c r="D9" s="3" t="inlineStr">
        <is>
          <t>Public IPv4</t>
        </is>
      </c>
      <c r="E9" s="3" t="inlineStr">
        <is>
          <t>EBS gp3 (GiB)</t>
        </is>
      </c>
      <c r="F9" s="3" t="inlineStr">
        <is>
          <t>Snapshots kept (GB)</t>
        </is>
      </c>
      <c r="G9" s="3" t="inlineStr">
        <is>
          <t>Primary vault (GB)</t>
        </is>
      </c>
      <c r="H9" s="3" t="inlineStr">
        <is>
          <t>DR vault (GB)</t>
        </is>
      </c>
      <c r="I9" s="3" t="inlineStr">
        <is>
          <t>Copied cross-region (GB)</t>
        </is>
      </c>
      <c r="J9" s="3" t="inlineStr">
        <is>
          <t>Per hour as deployed (USD)</t>
        </is>
      </c>
      <c r="K9" s="3" t="inlineStr">
        <is>
          <t>Per day (USD)</t>
        </is>
      </c>
      <c r="L9" s="3" t="inlineStr">
        <is>
          <t>Per month (USD)</t>
        </is>
      </c>
      <c r="M9" s="3" t="inlineStr">
        <is>
          <t>One-time, first copy (USD)</t>
        </is>
      </c>
      <c r="N9" s="3" t="inlineStr">
        <is>
          <t>Per hour, running (USD)</t>
        </is>
      </c>
      <c r="O9" s="3" t="inlineStr">
        <is>
          <t>Per hour, stopped (USD)</t>
        </is>
      </c>
      <c r="P9" s="3" t="inlineStr">
        <is>
          <t>Note</t>
        </is>
      </c>
    </row>
    <row r="10" ht="24" customHeight="1">
      <c r="A10" s="9" t="inlineStr">
        <is>
          <t>ec2-01</t>
        </is>
      </c>
      <c r="B10" s="18" t="inlineStr">
        <is>
          <t>Instance + 8 GiB root. No protection</t>
        </is>
      </c>
      <c r="C10" s="19" t="inlineStr">
        <is>
          <t>Running</t>
        </is>
      </c>
      <c r="D10" s="19" t="inlineStr">
        <is>
          <t>Yes</t>
        </is>
      </c>
      <c r="E10" s="20" t="n">
        <v>8</v>
      </c>
      <c r="F10" s="21" t="n">
        <v>0</v>
      </c>
      <c r="G10" s="21" t="n">
        <v>0</v>
      </c>
      <c r="H10" s="21" t="n">
        <v>0</v>
      </c>
      <c r="I10" s="21" t="n">
        <v>0</v>
      </c>
      <c r="J10" s="38">
        <f>IF(C10="Running",N10,O10)</f>
        <v>0.016276712328767123</v>
      </c>
      <c r="K10" s="39">
        <f>J10*24</f>
        <v>0.39064109589041096</v>
      </c>
      <c r="L10" s="39">
        <f>J10*Rates!$B$4</f>
        <v>11.882</v>
      </c>
      <c r="M10" s="39">
        <f>I10*Rates!$B$22</f>
        <v>0.0</v>
      </c>
      <c r="N10" s="39">
        <f>'EC2 and EBS'!$D$6+IF(D10="Yes",Rates!$B$27,0)+O10</f>
        <v>0.016276712328767123</v>
      </c>
      <c r="O10" s="39">
        <f>(E10*Rates!$B$16+F10*Rates!$B$17+(G10+H10)*Rates!$B$20)/Rates!$B$4</f>
        <v>0.0008767123287671233</v>
      </c>
      <c r="P10" s="15" t="inlineStr">
        <is>
          <t>Its generated backup file was removed, so no vaults or backups.</t>
        </is>
      </c>
    </row>
    <row r="11" ht="24" customHeight="1">
      <c r="A11" s="9" t="inlineStr">
        <is>
          <t>ec2-02</t>
        </is>
      </c>
      <c r="B11" s="18" t="inlineStr">
        <is>
          <t>Instance + encrypted 1 GiB data volume</t>
        </is>
      </c>
      <c r="C11" s="19" t="inlineStr">
        <is>
          <t>Running</t>
        </is>
      </c>
      <c r="D11" s="19" t="inlineStr">
        <is>
          <t>Yes</t>
        </is>
      </c>
      <c r="E11" s="20" t="n">
        <v>9</v>
      </c>
      <c r="F11" s="21" t="n">
        <v>0</v>
      </c>
      <c r="G11" s="21" t="n">
        <v>0</v>
      </c>
      <c r="H11" s="21" t="n">
        <v>0</v>
      </c>
      <c r="I11" s="21" t="n">
        <v>0</v>
      </c>
      <c r="J11" s="38">
        <f>IF(C11="Running",N11,O11)</f>
        <v>0.016386301369863014</v>
      </c>
      <c r="K11" s="39">
        <f>J11*24</f>
        <v>0.39327123287671234</v>
      </c>
      <c r="L11" s="39">
        <f>J11*Rates!$B$4</f>
        <v>11.962</v>
      </c>
      <c r="M11" s="39">
        <f>I11*Rates!$B$22</f>
        <v>0.0</v>
      </c>
      <c r="N11" s="39">
        <f>'EC2 and EBS'!$D$6+IF(D11="Yes",Rates!$B$27,0)+O11</f>
        <v>0.016386301369863014</v>
      </c>
      <c r="O11" s="39">
        <f>(E11*Rates!$B$16+F11*Rates!$B$17+(G11+H11)*Rates!$B$20)/Rates!$B$4</f>
        <v>0.0009863013698630137</v>
      </c>
      <c r="P11" s="15" t="inlineStr"/>
    </row>
    <row r="12" ht="24" customHeight="1">
      <c r="A12" s="9" t="inlineStr">
        <is>
          <t>ec2-03</t>
        </is>
      </c>
      <c r="B12" s="18" t="inlineStr">
        <is>
          <t>+ data volume + 1 EBS snapshot</t>
        </is>
      </c>
      <c r="C12" s="19" t="inlineStr">
        <is>
          <t>Running</t>
        </is>
      </c>
      <c r="D12" s="19" t="inlineStr">
        <is>
          <t>Yes</t>
        </is>
      </c>
      <c r="E12" s="20" t="n">
        <v>9</v>
      </c>
      <c r="F12" s="21">
        <f>$C$5</f>
        <v>0</v>
      </c>
      <c r="G12" s="21" t="n">
        <v>0</v>
      </c>
      <c r="H12" s="21" t="n">
        <v>0</v>
      </c>
      <c r="I12" s="21" t="n">
        <v>0</v>
      </c>
      <c r="J12" s="38">
        <f>IF(C12="Running",N12,O12)</f>
        <v>0.016386301369863014</v>
      </c>
      <c r="K12" s="39">
        <f>J12*24</f>
        <v>0.39327123287671234</v>
      </c>
      <c r="L12" s="39">
        <f>J12*Rates!$B$4</f>
        <v>11.962</v>
      </c>
      <c r="M12" s="39">
        <f>I12*Rates!$B$22</f>
        <v>0.0</v>
      </c>
      <c r="N12" s="39">
        <f>'EC2 and EBS'!$D$6+IF(D12="Yes",Rates!$B$27,0)+O12</f>
        <v>0.016386301369863014</v>
      </c>
      <c r="O12" s="39">
        <f>(E12*Rates!$B$16+F12*Rates!$B$17+(G12+H12)*Rates!$B$20)/Rates!$B$4</f>
        <v>0.0009863013698630137</v>
      </c>
      <c r="P12" s="15" t="inlineStr">
        <is>
          <t>Snapshot of the data volume (~0 GB while it is empty).</t>
        </is>
      </c>
    </row>
    <row r="13" ht="24" customHeight="1">
      <c r="A13" s="9" t="inlineStr">
        <is>
          <t>ec2-04</t>
        </is>
      </c>
      <c r="B13" s="18" t="inlineStr">
        <is>
          <t>+ data volume + snapshot + AMI</t>
        </is>
      </c>
      <c r="C13" s="19" t="inlineStr">
        <is>
          <t>Running</t>
        </is>
      </c>
      <c r="D13" s="19" t="inlineStr">
        <is>
          <t>Yes</t>
        </is>
      </c>
      <c r="E13" s="20" t="n">
        <v>9</v>
      </c>
      <c r="F13" s="21">
        <f>$C$5+$C$4+$C$5</f>
        <v>1</v>
      </c>
      <c r="G13" s="21" t="n">
        <v>0</v>
      </c>
      <c r="H13" s="21" t="n">
        <v>0</v>
      </c>
      <c r="I13" s="21" t="n">
        <v>0</v>
      </c>
      <c r="J13" s="38">
        <f>IF(C13="Running",N13,O13)</f>
        <v>0.016454794520547947</v>
      </c>
      <c r="K13" s="39">
        <f>J13*24</f>
        <v>0.3949150684931507</v>
      </c>
      <c r="L13" s="39">
        <f>J13*Rates!$B$4</f>
        <v>12.012</v>
      </c>
      <c r="M13" s="39">
        <f>I13*Rates!$B$22</f>
        <v>0.0</v>
      </c>
      <c r="N13" s="39">
        <f>'EC2 and EBS'!$D$6+IF(D13="Yes",Rates!$B$27,0)+O13</f>
        <v>0.016454794520547947</v>
      </c>
      <c r="O13" s="39">
        <f>(E13*Rates!$B$16+F13*Rates!$B$17+(G13+H13)*Rates!$B$20)/Rates!$B$4</f>
        <v>0.0010547945205479452</v>
      </c>
      <c r="P13" s="15" t="inlineStr">
        <is>
          <t>Data snapshot + the AMI's root and data snapshots.</t>
        </is>
      </c>
    </row>
    <row r="14" ht="24" customHeight="1">
      <c r="A14" s="9" t="inlineStr">
        <is>
          <t>ec2-05</t>
        </is>
      </c>
      <c r="B14" s="18" t="inlineStr">
        <is>
          <t>+ data volume + DLM (24 h, keep 1)</t>
        </is>
      </c>
      <c r="C14" s="19" t="inlineStr">
        <is>
          <t>Running</t>
        </is>
      </c>
      <c r="D14" s="19" t="inlineStr">
        <is>
          <t>Yes</t>
        </is>
      </c>
      <c r="E14" s="20" t="n">
        <v>9</v>
      </c>
      <c r="F14" s="21">
        <f>$C$4+$C$5</f>
        <v>1</v>
      </c>
      <c r="G14" s="21" t="n">
        <v>0</v>
      </c>
      <c r="H14" s="21" t="n">
        <v>0</v>
      </c>
      <c r="I14" s="21" t="n">
        <v>0</v>
      </c>
      <c r="J14" s="38">
        <f>IF(C14="Running",N14,O14)</f>
        <v>0.016454794520547947</v>
      </c>
      <c r="K14" s="39">
        <f>J14*24</f>
        <v>0.3949150684931507</v>
      </c>
      <c r="L14" s="39">
        <f>J14*Rates!$B$4</f>
        <v>12.012</v>
      </c>
      <c r="M14" s="39">
        <f>I14*Rates!$B$22</f>
        <v>0.0</v>
      </c>
      <c r="N14" s="39">
        <f>'EC2 and EBS'!$D$6+IF(D14="Yes",Rates!$B$27,0)+O14</f>
        <v>0.016454794520547947</v>
      </c>
      <c r="O14" s="39">
        <f>(E14*Rates!$B$16+F14*Rates!$B$17+(G14+H14)*Rates!$B$20)/Rates!$B$4</f>
        <v>0.0010547945205479452</v>
      </c>
      <c r="P14" s="15" t="inlineStr">
        <is>
          <t>DLM snapshots root + data volume (both tagged DlmTaken). DLM itself is free.</t>
        </is>
      </c>
    </row>
    <row r="15" ht="24" customHeight="1">
      <c r="A15" s="9" t="inlineStr">
        <is>
          <t>ec2-06</t>
        </is>
      </c>
      <c r="B15" s="18" t="inlineStr">
        <is>
          <t>Instance backup, 1 vault, no copy, no lock</t>
        </is>
      </c>
      <c r="C15" s="19" t="inlineStr">
        <is>
          <t>Running</t>
        </is>
      </c>
      <c r="D15" s="19" t="inlineStr">
        <is>
          <t>Yes</t>
        </is>
      </c>
      <c r="E15" s="20" t="n">
        <v>8</v>
      </c>
      <c r="F15" s="21" t="n">
        <v>0</v>
      </c>
      <c r="G15" s="21">
        <f>$C$4</f>
        <v>1</v>
      </c>
      <c r="H15" s="21" t="n">
        <v>0</v>
      </c>
      <c r="I15" s="21" t="n">
        <v>0</v>
      </c>
      <c r="J15" s="38">
        <f>IF(C15="Running",N15,O15)</f>
        <v>0.016345205479452056</v>
      </c>
      <c r="K15" s="39">
        <f>J15*24</f>
        <v>0.39228493150684934</v>
      </c>
      <c r="L15" s="39">
        <f>J15*Rates!$B$4</f>
        <v>11.932</v>
      </c>
      <c r="M15" s="39">
        <f>I15*Rates!$B$22</f>
        <v>0.0</v>
      </c>
      <c r="N15" s="39">
        <f>'EC2 and EBS'!$D$6+IF(D15="Yes",Rates!$B$27,0)+O15</f>
        <v>0.016345205479452056</v>
      </c>
      <c r="O15" s="39">
        <f>(E15*Rates!$B$16+F15*Rates!$B$17+(G15+H15)*Rates!$B$20)/Rates!$B$4</f>
        <v>0.0009452054794520548</v>
      </c>
      <c r="P15" s="15" t="inlineStr">
        <is>
          <t>Daily 03:00 UTC, kept 1 day. On-demand backup: run the commands from terraform output (not at apply).</t>
        </is>
      </c>
    </row>
    <row r="16" ht="24" customHeight="1">
      <c r="A16" s="9" t="inlineStr">
        <is>
          <t>ec2-07</t>
        </is>
      </c>
      <c r="B16" s="18" t="inlineStr">
        <is>
          <t>Instance backup + copy to DR vault (DR locked)</t>
        </is>
      </c>
      <c r="C16" s="19" t="inlineStr">
        <is>
          <t>Running</t>
        </is>
      </c>
      <c r="D16" s="19" t="inlineStr">
        <is>
          <t>Yes</t>
        </is>
      </c>
      <c r="E16" s="20" t="n">
        <v>8</v>
      </c>
      <c r="F16" s="21" t="n">
        <v>0</v>
      </c>
      <c r="G16" s="21">
        <f>$C$4</f>
        <v>1</v>
      </c>
      <c r="H16" s="21">
        <f>$C$4</f>
        <v>1</v>
      </c>
      <c r="I16" s="21">
        <f>$C$4</f>
        <v>1</v>
      </c>
      <c r="J16" s="38">
        <f>IF(C16="Running",N16,O16)</f>
        <v>0.01641369863013699</v>
      </c>
      <c r="K16" s="39">
        <f>J16*24</f>
        <v>0.3939287671232877</v>
      </c>
      <c r="L16" s="39">
        <f>J16*Rates!$B$4</f>
        <v>11.982000000000001</v>
      </c>
      <c r="M16" s="39">
        <f>I16*Rates!$B$22</f>
        <v>0.02</v>
      </c>
      <c r="N16" s="39">
        <f>'EC2 and EBS'!$D$6+IF(D16="Yes",Rates!$B$27,0)+O16</f>
        <v>0.01641369863013699</v>
      </c>
      <c r="O16" s="39">
        <f>(E16*Rates!$B$16+F16*Rates!$B$17+(G16+H16)*Rates!$B$20)/Rates!$B$4</f>
        <v>0.0010136986301369864</v>
      </c>
      <c r="P16" s="15" t="inlineStr">
        <is>
          <t>1 on-demand backup + 1 copy at apply, daily after, kept 1 day.</t>
        </is>
      </c>
    </row>
    <row r="17" ht="24" customHeight="1">
      <c r="A17" s="9" t="inlineStr">
        <is>
          <t>ec2-08</t>
        </is>
      </c>
      <c r="B17" s="18" t="inlineStr">
        <is>
          <t>Instance backup + copy to DR vault (DR locked)</t>
        </is>
      </c>
      <c r="C17" s="19" t="inlineStr">
        <is>
          <t>Running</t>
        </is>
      </c>
      <c r="D17" s="19" t="inlineStr">
        <is>
          <t>No</t>
        </is>
      </c>
      <c r="E17" s="20" t="n">
        <v>8</v>
      </c>
      <c r="F17" s="21" t="n">
        <v>0</v>
      </c>
      <c r="G17" s="21">
        <f>$C$4</f>
        <v>1</v>
      </c>
      <c r="H17" s="21">
        <f>$C$4</f>
        <v>1</v>
      </c>
      <c r="I17" s="21">
        <f>$C$4</f>
        <v>1</v>
      </c>
      <c r="J17" s="38">
        <f>IF(C17="Running",N17,O17)</f>
        <v>0.011413698630136986</v>
      </c>
      <c r="K17" s="39">
        <f>J17*24</f>
        <v>0.2739287671232877</v>
      </c>
      <c r="L17" s="39">
        <f>J17*Rates!$B$4</f>
        <v>8.331999999999999</v>
      </c>
      <c r="M17" s="39">
        <f>I17*Rates!$B$22</f>
        <v>0.02</v>
      </c>
      <c r="N17" s="39">
        <f>'EC2 and EBS'!$D$6+IF(D17="Yes",Rates!$B$27,0)+O17</f>
        <v>0.011413698630136986</v>
      </c>
      <c r="O17" s="39">
        <f>(E17*Rates!$B$16+F17*Rates!$B$17+(G17+H17)*Rates!$B$20)/Rates!$B$4</f>
        <v>0.0010136986301369864</v>
      </c>
      <c r="P17" s="15" t="inlineStr">
        <is>
          <t>Daily backup + copy, kept 7 days. On-demand backup + copy: run the commands from terraform output (not at apply).</t>
        </is>
      </c>
    </row>
    <row r="18" ht="24" customHeight="1">
      <c r="A18" s="9" t="inlineStr">
        <is>
          <t>ec2-09</t>
        </is>
      </c>
      <c r="B18" s="18" t="inlineStr">
        <is>
          <t>Data-volume backup + copy to DR vault (DR locked)</t>
        </is>
      </c>
      <c r="C18" s="19" t="inlineStr">
        <is>
          <t>Running</t>
        </is>
      </c>
      <c r="D18" s="19" t="inlineStr">
        <is>
          <t>No</t>
        </is>
      </c>
      <c r="E18" s="20" t="n">
        <v>9</v>
      </c>
      <c r="F18" s="21" t="n">
        <v>0</v>
      </c>
      <c r="G18" s="21">
        <f>$C$5</f>
        <v>0</v>
      </c>
      <c r="H18" s="21">
        <f>$C$5</f>
        <v>0</v>
      </c>
      <c r="I18" s="21">
        <f>$C$5</f>
        <v>0</v>
      </c>
      <c r="J18" s="38">
        <f>IF(C18="Running",N18,O18)</f>
        <v>0.011386301369863013</v>
      </c>
      <c r="K18" s="39">
        <f>J18*24</f>
        <v>0.2732712328767123</v>
      </c>
      <c r="L18" s="39">
        <f>J18*Rates!$B$4</f>
        <v>8.312</v>
      </c>
      <c r="M18" s="39">
        <f>I18*Rates!$B$22</f>
        <v>0.0</v>
      </c>
      <c r="N18" s="39">
        <f>'EC2 and EBS'!$D$6+IF(D18="Yes",Rates!$B$27,0)+O18</f>
        <v>0.011386301369863013</v>
      </c>
      <c r="O18" s="39">
        <f>(E18*Rates!$B$16+F18*Rates!$B$17+(G18+H18)*Rates!$B$20)/Rates!$B$4</f>
        <v>0.0009863013698630137</v>
      </c>
      <c r="P18" s="15" t="inlineStr">
        <is>
          <t>Only the data volume is backed up. ~$0 while it is empty.</t>
        </is>
      </c>
    </row>
    <row r="19" ht="24" customHeight="1">
      <c r="A19" s="9" t="inlineStr">
        <is>
          <t>ec2-backup-dr</t>
        </is>
      </c>
      <c r="B19" s="18" t="inlineStr">
        <is>
          <t>Instance + data volume backup + copy to DR (DR locked)</t>
        </is>
      </c>
      <c r="C19" s="19" t="inlineStr">
        <is>
          <t>Running</t>
        </is>
      </c>
      <c r="D19" s="19" t="inlineStr">
        <is>
          <t>No</t>
        </is>
      </c>
      <c r="E19" s="20" t="n">
        <v>9</v>
      </c>
      <c r="F19" s="21" t="n">
        <v>0</v>
      </c>
      <c r="G19" s="21">
        <f>$C$4+$C$5</f>
        <v>1</v>
      </c>
      <c r="H19" s="21">
        <f>$C$4+$C$5</f>
        <v>1</v>
      </c>
      <c r="I19" s="21">
        <f>$C$4+$C$5</f>
        <v>1</v>
      </c>
      <c r="J19" s="38">
        <f>IF(C19="Running",N19,O19)</f>
        <v>0.011523287671232877</v>
      </c>
      <c r="K19" s="39">
        <f>J19*24</f>
        <v>0.27655890410958905</v>
      </c>
      <c r="L19" s="39">
        <f>J19*Rates!$B$4</f>
        <v>8.412</v>
      </c>
      <c r="M19" s="39">
        <f>I19*Rates!$B$22</f>
        <v>0.02</v>
      </c>
      <c r="N19" s="39">
        <f>'EC2 and EBS'!$D$6+IF(D19="Yes",Rates!$B$27,0)+O19</f>
        <v>0.011523287671232877</v>
      </c>
      <c r="O19" s="39">
        <f>(E19*Rates!$B$16+F19*Rates!$B$17+(G19+H19)*Rates!$B$20)/Rates!$B$4</f>
        <v>0.0011232876712328767</v>
      </c>
      <c r="P19" s="15" t="inlineStr">
        <is>
          <t>Daily backup + copy, kept 7 days. On-demand backup + copy: run the commands from terraform output (not at apply).</t>
        </is>
      </c>
    </row>
    <row r="20">
      <c r="A20" s="9" t="inlineStr">
        <is>
          <t>All 10 EC2 folders deployed at once</t>
        </is>
      </c>
      <c r="B20" s="16" t="n"/>
      <c r="C20" s="16" t="n"/>
      <c r="D20" s="16" t="n"/>
      <c r="E20" s="16" t="n"/>
      <c r="F20" s="16" t="n"/>
      <c r="G20" s="16" t="n"/>
      <c r="H20" s="16" t="n"/>
      <c r="I20" s="17" t="n"/>
      <c r="J20" s="38">
        <f>SUM(J10:J19)</f>
        <v>0.14904109589041098</v>
      </c>
      <c r="K20" s="38">
        <f>SUM(K10:K19)</f>
        <v>3.576986301369863</v>
      </c>
      <c r="L20" s="38">
        <f>SUM(L10:L19)</f>
        <v>108.8</v>
      </c>
      <c r="M20" s="38">
        <f>SUM(M10:M19)</f>
        <v>0.06</v>
      </c>
    </row>
    <row r="21"/>
    <row r="22">
      <c r="A22" s="4" t="inlineStr">
        <is>
          <t>B. S3 AWS Backup folders (s3/)</t>
        </is>
      </c>
      <c r="B22" s="5" t="n"/>
      <c r="C22" s="5" t="n"/>
      <c r="D22" s="5" t="n"/>
      <c r="E22" s="5" t="n"/>
      <c r="F22" s="5" t="n"/>
      <c r="G22" s="5" t="n"/>
      <c r="H22" s="5" t="n"/>
      <c r="I22" s="5" t="n"/>
      <c r="J22" s="5" t="n"/>
      <c r="K22" s="5" t="n"/>
      <c r="L22" s="5" t="n"/>
      <c r="M22" s="5" t="n"/>
      <c r="N22" s="5" t="n"/>
      <c r="O22" s="5" t="n"/>
      <c r="P22" s="5" t="n"/>
    </row>
    <row r="23" ht="45" customHeight="1">
      <c r="A23" s="3" t="inlineStr">
        <is>
          <t>Folder</t>
        </is>
      </c>
      <c r="B23" s="3" t="inlineStr">
        <is>
          <t>What it creates</t>
        </is>
      </c>
      <c r="C23" s="3" t="inlineStr">
        <is>
          <t>Bucket data (GB)</t>
        </is>
      </c>
      <c r="D23" s="3" t="inlineStr"/>
      <c r="E23" s="3" t="inlineStr">
        <is>
          <t>S3 Standard (GB)</t>
        </is>
      </c>
      <c r="F23" s="3" t="inlineStr"/>
      <c r="G23" s="3" t="inlineStr">
        <is>
          <t>Primary vault (GB)</t>
        </is>
      </c>
      <c r="H23" s="3" t="inlineStr">
        <is>
          <t>DR vault (GB)</t>
        </is>
      </c>
      <c r="I23" s="3" t="inlineStr">
        <is>
          <t>Copied cross-region (GB)</t>
        </is>
      </c>
      <c r="J23" s="3" t="inlineStr">
        <is>
          <t>Per hour (USD)</t>
        </is>
      </c>
      <c r="K23" s="3" t="inlineStr">
        <is>
          <t>Per day (USD)</t>
        </is>
      </c>
      <c r="L23" s="3" t="inlineStr">
        <is>
          <t>Per month (USD)</t>
        </is>
      </c>
      <c r="M23" s="3" t="inlineStr">
        <is>
          <t>One-time, first copy (USD)</t>
        </is>
      </c>
      <c r="N23" s="3" t="inlineStr"/>
      <c r="O23" s="3" t="inlineStr"/>
      <c r="P23" s="3" t="inlineStr">
        <is>
          <t>Note</t>
        </is>
      </c>
    </row>
    <row r="24" ht="24" customHeight="1">
      <c r="A24" s="9" t="inlineStr">
        <is>
          <t>s3-05</t>
        </is>
      </c>
      <c r="B24" s="18" t="inlineStr">
        <is>
          <t>Versioned bucket + AWS Backup, 1 vault, no copy</t>
        </is>
      </c>
      <c r="C24" s="21">
        <f>$C$6</f>
        <v>1</v>
      </c>
      <c r="E24" s="21">
        <f>C24</f>
        <v>1</v>
      </c>
      <c r="G24" s="21">
        <f>MAX(C24,Rates!$B$24/Rates!$B$5)</f>
        <v>1</v>
      </c>
      <c r="H24" s="21" t="n">
        <v>0</v>
      </c>
      <c r="I24" s="21" t="n">
        <v>0</v>
      </c>
      <c r="J24" s="38">
        <f>L24/Rates!$B$4</f>
        <v>0.00010000000000000002</v>
      </c>
      <c r="K24" s="39">
        <f>J24*24</f>
        <v>0.0024000000000000002</v>
      </c>
      <c r="L24" s="39">
        <f>E24*Rates!$B$10+(G24+H24)*Rates!$B$20</f>
        <v>0.07300000000000001</v>
      </c>
      <c r="M24" s="39">
        <f>I24*Rates!$B$23</f>
        <v>0.0</v>
      </c>
      <c r="P24" s="15" t="inlineStr">
        <is>
          <t>Daily 05:00 UTC, kept 7 days.</t>
        </is>
      </c>
    </row>
    <row r="25" ht="24" customHeight="1">
      <c r="A25" s="9" t="inlineStr">
        <is>
          <t>s3-06</t>
        </is>
      </c>
      <c r="B25" s="18" t="inlineStr">
        <is>
          <t>Bucket + AWS Backup + copy to DR vault (no lock)</t>
        </is>
      </c>
      <c r="C25" s="21">
        <f>$C$6</f>
        <v>1</v>
      </c>
      <c r="E25" s="21">
        <f>C25</f>
        <v>1</v>
      </c>
      <c r="G25" s="21">
        <f>MAX(C25,Rates!$B$24/Rates!$B$5)</f>
        <v>1</v>
      </c>
      <c r="H25" s="21">
        <f>G25</f>
        <v>1</v>
      </c>
      <c r="I25" s="21">
        <f>C25</f>
        <v>1</v>
      </c>
      <c r="J25" s="38">
        <f>L25/Rates!$B$4</f>
        <v>0.0001684931506849315</v>
      </c>
      <c r="K25" s="39">
        <f>J25*24</f>
        <v>0.004043835616438356</v>
      </c>
      <c r="L25" s="39">
        <f>E25*Rates!$B$10+(G25+H25)*Rates!$B$20</f>
        <v>0.123</v>
      </c>
      <c r="M25" s="39">
        <f>I25*Rates!$B$23</f>
        <v>0.02</v>
      </c>
      <c r="P25" s="15" t="inlineStr">
        <is>
          <t>Weekly (Sunday), kept 14 days.</t>
        </is>
      </c>
    </row>
    <row r="26" ht="24" customHeight="1">
      <c r="A26" s="9" t="inlineStr">
        <is>
          <t>s3-backup-dr</t>
        </is>
      </c>
      <c r="B26" s="18" t="inlineStr">
        <is>
          <t>Bucket + AWS Backup + copy to DR (DR locked)</t>
        </is>
      </c>
      <c r="C26" s="21">
        <f>$C$6</f>
        <v>1</v>
      </c>
      <c r="E26" s="21">
        <f>C26</f>
        <v>1</v>
      </c>
      <c r="G26" s="21">
        <f>MAX(C26,Rates!$B$24/Rates!$B$5)</f>
        <v>1</v>
      </c>
      <c r="H26" s="21">
        <f>G26</f>
        <v>1</v>
      </c>
      <c r="I26" s="21">
        <f>C26</f>
        <v>1</v>
      </c>
      <c r="J26" s="38">
        <f>L26/Rates!$B$4</f>
        <v>0.0001684931506849315</v>
      </c>
      <c r="K26" s="39">
        <f>J26*24</f>
        <v>0.004043835616438356</v>
      </c>
      <c r="L26" s="39">
        <f>E26*Rates!$B$10+(G26+H26)*Rates!$B$20</f>
        <v>0.123</v>
      </c>
      <c r="M26" s="39">
        <f>I26*Rates!$B$23</f>
        <v>0.02</v>
      </c>
      <c r="P26" s="15" t="inlineStr">
        <is>
          <t>Daily, kept 7 days, compliance lock. Deployed.</t>
        </is>
      </c>
    </row>
    <row r="27">
      <c r="A27" s="9" t="inlineStr">
        <is>
          <t>All 3 S3 backup folders</t>
        </is>
      </c>
      <c r="B27" s="16" t="n"/>
      <c r="C27" s="16" t="n"/>
      <c r="D27" s="16" t="n"/>
      <c r="E27" s="16" t="n"/>
      <c r="F27" s="16" t="n"/>
      <c r="G27" s="16" t="n"/>
      <c r="H27" s="16" t="n"/>
      <c r="I27" s="17" t="n"/>
      <c r="J27" s="38">
        <f>SUM(J24:J26)</f>
        <v>0.000436986301369863</v>
      </c>
      <c r="K27" s="38">
        <f>SUM(K24:K26)</f>
        <v>0.010487671232876711</v>
      </c>
      <c r="L27" s="38">
        <f>SUM(L24:L26)</f>
        <v>0.319</v>
      </c>
      <c r="M27" s="38">
        <f>SUM(M24:M26)</f>
        <v>0.04</v>
      </c>
    </row>
    <row r="28"/>
    <row r="29" ht="39" customHeight="1">
      <c r="A29" s="12" t="inlineStr">
        <is>
          <t>Not in table B: the other s3/ folders hold only buckets, versioning, lifecycle rules, Object Lock or replication. An empty bucket is $0; their cost per GB is on the S3 and S3 CRR sheets. S3 backup jobs also make LIST/GET requests and the restore rate is $0.02/GB (Rates sheet): fractions of a cent for these buckets. Change C4:C6 or any Instance / Public IPv4 cell to see the effect.</t>
        </is>
      </c>
    </row>
  </sheetData>
  <mergeCells count="7">
    <mergeCell ref="D4:P4"/>
    <mergeCell ref="D5:P5"/>
    <mergeCell ref="D6:P6"/>
    <mergeCell ref="A27:I27"/>
    <mergeCell ref="A29:P29"/>
    <mergeCell ref="A20:I20"/>
    <mergeCell ref="A2:P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8"/>
  <sheetViews>
    <sheetView showGridLines="0" workbookViewId="0">
      <pane ySplit="9" topLeftCell="A10" activePane="bottomLeft" state="frozen"/>
      <selection pane="bottomLeft" activeCell="A1" sqref="A1"/>
    </sheetView>
  </sheetViews>
  <sheetFormatPr baseColWidth="8" defaultRowHeight="15"/>
  <cols>
    <col width="52" customWidth="1" min="1" max="1"/>
    <col width="14" customWidth="1" min="2" max="2"/>
    <col width="24" customWidth="1" min="3" max="3"/>
    <col width="32" customWidth="1" min="4" max="4"/>
    <col width="90" customWidth="1" min="5" max="5"/>
  </cols>
  <sheetData>
    <row r="1" ht="17.35" customHeight="1">
      <c r="A1" s="1" t="inlineStr">
        <is>
          <t>Rates and assumptions</t>
        </is>
      </c>
    </row>
    <row r="2" ht="27.75" customHeight="1">
      <c r="A2" s="12" t="inlineStr">
        <is>
          <t>us-east-1 (N. Virginia) list prices, checked 2026-10-13, updated 2026-10-26 to match the Terraform scripts. All values in USD. Blue cells on a yellow fill are inputs: edit one and every sheet recalculates. Black = formula, green = link from another sheet.</t>
        </is>
      </c>
    </row>
    <row r="3"/>
    <row r="4">
      <c r="A4" s="9" t="inlineStr">
        <is>
          <t>Hours in a billing month</t>
        </is>
      </c>
      <c r="B4" s="20" t="n">
        <v>730</v>
      </c>
      <c r="C4" s="15" t="inlineStr">
        <is>
          <t>AWS divides a month into 730 hours (8,760 / 12). Day = hour x 24.</t>
        </is>
      </c>
    </row>
    <row r="5">
      <c r="A5" s="9" t="inlineStr">
        <is>
          <t>KB in 1 GB</t>
        </is>
      </c>
      <c r="B5" s="24" t="n">
        <v>1048576</v>
      </c>
      <c r="C5" s="15" t="inlineStr">
        <is>
          <t>Binary units: 1 GB = 1,024 MB = 1,048,576 KB.</t>
        </is>
      </c>
    </row>
    <row r="6">
      <c r="A6" s="9" t="inlineStr">
        <is>
          <t>MB in 1 GB</t>
        </is>
      </c>
      <c r="B6" s="24" t="n">
        <v>1024</v>
      </c>
      <c r="C6" s="15" t="inlineStr"/>
    </row>
    <row r="7"/>
    <row r="8"/>
    <row r="9" ht="42" customHeight="1">
      <c r="A9" s="3" t="inlineStr">
        <is>
          <t>Item</t>
        </is>
      </c>
      <c r="B9" s="3" t="inlineStr">
        <is>
          <t>Rate</t>
        </is>
      </c>
      <c r="C9" s="3" t="inlineStr">
        <is>
          <t>Unit</t>
        </is>
      </c>
      <c r="D9" s="3" t="inlineStr">
        <is>
          <t>Status</t>
        </is>
      </c>
      <c r="E9" s="3" t="inlineStr">
        <is>
          <t>Source / note</t>
        </is>
      </c>
    </row>
    <row r="10" ht="23.85" customHeight="1">
      <c r="A10" s="18" t="inlineStr">
        <is>
          <t>S3 Standard storage (first 50 TB)</t>
        </is>
      </c>
      <c r="B10" s="40" t="n">
        <v>0.023</v>
      </c>
      <c r="C10" s="6" t="inlineStr">
        <is>
          <t>$ per GB-month</t>
        </is>
      </c>
      <c r="D10" s="6" t="inlineStr">
        <is>
          <t>Published S3 list price</t>
        </is>
      </c>
      <c r="E10" s="18" t="inlineStr">
        <is>
          <t>Billed on actual bytes. Standard has no 128 KB minimum object size (that applies to Standard-IA and to AWS Backup).</t>
        </is>
      </c>
    </row>
    <row r="11" ht="23.85" customHeight="1">
      <c r="A11" s="18" t="inlineStr">
        <is>
          <t>S3 PUT / COPY / POST / LIST requests</t>
        </is>
      </c>
      <c r="B11" s="40" t="n">
        <v>0.005</v>
      </c>
      <c r="C11" s="6" t="inlineStr">
        <is>
          <t>$ per 1,000 requests</t>
        </is>
      </c>
      <c r="D11" s="6" t="inlineStr">
        <is>
          <t>Published S3 list price</t>
        </is>
      </c>
      <c r="E11" s="18" t="inlineStr">
        <is>
          <t>Replication also makes one PUT per object in the destination. An AWS Backup S3 restore writes each object back with a PUT.</t>
        </is>
      </c>
    </row>
    <row r="12" ht="23.85" customHeight="1">
      <c r="A12" s="18" t="inlineStr">
        <is>
          <t>S3 GET requests</t>
        </is>
      </c>
      <c r="B12" s="40" t="n">
        <v>0.0004</v>
      </c>
      <c r="C12" s="6" t="inlineStr">
        <is>
          <t>$ per 1,000 requests</t>
        </is>
      </c>
      <c r="D12" s="6" t="inlineStr">
        <is>
          <t>AWS S3 pricing page</t>
        </is>
      </c>
      <c r="E12" s="18" t="inlineStr">
        <is>
          <t>Replication and AWS Backup read the source object with a GET. AWS Backup's example uses the same $0.004 per 10,000.</t>
        </is>
      </c>
    </row>
    <row r="13" ht="15" customHeight="1">
      <c r="A13" s="18" t="inlineStr">
        <is>
          <t>Inter-region data transfer (S3 CRR from us-east-1)</t>
        </is>
      </c>
      <c r="B13" s="40" t="n">
        <v>0.02</v>
      </c>
      <c r="C13" s="6" t="inlineStr">
        <is>
          <t>$ per GB</t>
        </is>
      </c>
      <c r="D13" s="6" t="inlineStr">
        <is>
          <t>Standard inter-region rate</t>
        </is>
      </c>
      <c r="E13" s="18" t="inlineStr">
        <is>
          <t>Priced by the SOURCE region. Same-region replication has no transfer charge.</t>
        </is>
      </c>
    </row>
    <row r="14" ht="15" customHeight="1">
      <c r="A14" s="18" t="inlineStr">
        <is>
          <t>S3 Batch Operations job (used for Batch Replication)</t>
        </is>
      </c>
      <c r="B14" s="40" t="n">
        <v>0.25</v>
      </c>
      <c r="C14" s="6" t="inlineStr">
        <is>
          <t>$ per job</t>
        </is>
      </c>
      <c r="D14" s="6" t="inlineStr">
        <is>
          <t>AWS S3 pricing page</t>
        </is>
      </c>
      <c r="E14" s="18" t="inlineStr">
        <is>
          <t>One fee per job, however many objects.</t>
        </is>
      </c>
    </row>
    <row r="15" ht="15" customHeight="1">
      <c r="A15" s="18" t="inlineStr">
        <is>
          <t>S3 Batch Operations objects processed</t>
        </is>
      </c>
      <c r="B15" s="40" t="n">
        <v>1</v>
      </c>
      <c r="C15" s="6" t="inlineStr">
        <is>
          <t>$ per million objects</t>
        </is>
      </c>
      <c r="D15" s="6" t="inlineStr">
        <is>
          <t>AWS S3 pricing page</t>
        </is>
      </c>
      <c r="E15" s="18" t="inlineStr"/>
    </row>
    <row r="16" ht="15" customHeight="1">
      <c r="A16" s="18" t="inlineStr">
        <is>
          <t>EBS gp3 volume</t>
        </is>
      </c>
      <c r="B16" s="40" t="n">
        <v>0.08</v>
      </c>
      <c r="C16" s="6" t="inlineStr">
        <is>
          <t>$ per GB-month</t>
        </is>
      </c>
      <c r="D16" s="6" t="inlineStr">
        <is>
          <t>AWS EBS pricing page</t>
        </is>
      </c>
      <c r="E16" s="18" t="inlineStr">
        <is>
          <t>Billed on provisioned size, whether the instance runs or not. gp3 minimum size is 1 GiB.</t>
        </is>
      </c>
    </row>
    <row r="17" ht="23.85" customHeight="1">
      <c r="A17" s="18" t="inlineStr">
        <is>
          <t>EBS snapshot, standard tier</t>
        </is>
      </c>
      <c r="B17" s="40" t="n">
        <v>0.05</v>
      </c>
      <c r="C17" s="6" t="inlineStr">
        <is>
          <t>$ per GB-month</t>
        </is>
      </c>
      <c r="D17" s="6" t="inlineStr">
        <is>
          <t>AWS EBS pricing page</t>
        </is>
      </c>
      <c r="E17" s="18" t="inlineStr">
        <is>
          <t>Billed on USED blocks only. First snapshot is a full copy of used blocks; later ones store only changes. Also the rate for AMI backing snapshots and DLM snapshots.</t>
        </is>
      </c>
    </row>
    <row r="18" ht="15" customHeight="1">
      <c r="A18" s="18" t="inlineStr">
        <is>
          <t>EBS snapshot, archive tier</t>
        </is>
      </c>
      <c r="B18" s="40" t="n">
        <v>0.0125</v>
      </c>
      <c r="C18" s="6" t="inlineStr">
        <is>
          <t>$ per GB-month</t>
        </is>
      </c>
      <c r="D18" s="6" t="inlineStr">
        <is>
          <t>AWS EBS pricing page</t>
        </is>
      </c>
      <c r="E18" s="18" t="inlineStr">
        <is>
          <t>90-day minimum. Full copy, not incremental. Not used by the stacks.</t>
        </is>
      </c>
    </row>
    <row r="19" ht="15" customHeight="1">
      <c r="A19" s="18" t="inlineStr">
        <is>
          <t>EBS snapshot archive retrieval</t>
        </is>
      </c>
      <c r="B19" s="40" t="n">
        <v>0.03</v>
      </c>
      <c r="C19" s="6" t="inlineStr">
        <is>
          <t>$ per GB, one time</t>
        </is>
      </c>
      <c r="D19" s="6" t="inlineStr">
        <is>
          <t>AWS EBS pricing page</t>
        </is>
      </c>
      <c r="E19" s="18" t="inlineStr">
        <is>
          <t>Not used by the stacks.</t>
        </is>
      </c>
    </row>
    <row r="20" ht="23.85" customHeight="1">
      <c r="A20" s="18" t="inlineStr">
        <is>
          <t>AWS Backup warm storage (EBS, EC2, S3)</t>
        </is>
      </c>
      <c r="B20" s="40" t="n">
        <v>0.05</v>
      </c>
      <c r="C20" s="6" t="inlineStr">
        <is>
          <t>$ per GB-month</t>
        </is>
      </c>
      <c r="D20" s="6" t="inlineStr">
        <is>
          <t>AWS Backup pricing page (worked examples)</t>
        </is>
      </c>
      <c r="E20" s="18" t="inlineStr">
        <is>
          <t>Same $0.05 for EBS, EC2 (AMI + snapshots) and S3, in the primary vault and again in the DR vault. No fee per backup job or copy job.</t>
        </is>
      </c>
    </row>
    <row r="21" ht="15" customHeight="1">
      <c r="A21" s="18" t="inlineStr">
        <is>
          <t>AWS Backup restore, S3 (warm)</t>
        </is>
      </c>
      <c r="B21" s="40" t="n">
        <v>0.02</v>
      </c>
      <c r="C21" s="6" t="inlineStr">
        <is>
          <t>$ per GB</t>
        </is>
      </c>
      <c r="D21" s="6" t="inlineStr">
        <is>
          <t>AWS Backup pricing page</t>
        </is>
      </c>
      <c r="E21" s="18" t="inlineStr">
        <is>
          <t>Plus a PUT per restored object. Restoring EBS / EC2 has no restore charge.</t>
        </is>
      </c>
    </row>
    <row r="22" ht="23.85" customHeight="1">
      <c r="A22" s="18" t="inlineStr">
        <is>
          <t>AWS Backup cross-region copy transfer, EBS / EC2</t>
        </is>
      </c>
      <c r="B22" s="40" t="n">
        <v>0.02</v>
      </c>
      <c r="C22" s="6" t="inlineStr">
        <is>
          <t>$ per GB</t>
        </is>
      </c>
      <c r="D22" s="6" t="inlineStr">
        <is>
          <t>AWS Backup pricing page</t>
        </is>
      </c>
      <c r="E22" s="18" t="inlineStr">
        <is>
          <t>EBS rate is in the AWS worked example. EC2 backups are EBS snapshots, so the same rate applies. Charged once per copy for the data sent; later copies send only changed blocks.</t>
        </is>
      </c>
    </row>
    <row r="23" ht="36" customHeight="1">
      <c r="A23" s="18" t="inlineStr">
        <is>
          <t>AWS Backup cross-region copy transfer, S3</t>
        </is>
      </c>
      <c r="B23" s="40" t="n">
        <v>0.02</v>
      </c>
      <c r="C23" s="6" t="inlineStr">
        <is>
          <t>$ per GB</t>
        </is>
      </c>
      <c r="D23" s="26" t="inlineStr">
        <is>
          <t>NOT CONFIRMED - check</t>
        </is>
      </c>
      <c r="E23" s="18" t="inlineStr">
        <is>
          <t>Set to $0.02 to match the Terraform scripts and the standard us-east-1 inter-region rate (was $0.03, a third-party estimate). The AWS Backup pricing page gives no S3-specific rate. Check the AWS Pricing Calculator and edit this cell.</t>
        </is>
      </c>
    </row>
    <row r="24" ht="15" customHeight="1">
      <c r="A24" s="18" t="inlineStr">
        <is>
          <t>AWS Backup S3 minimum billed object size</t>
        </is>
      </c>
      <c r="B24" s="20" t="n">
        <v>128</v>
      </c>
      <c r="C24" s="6" t="inlineStr">
        <is>
          <t>KB per object</t>
        </is>
      </c>
      <c r="D24" s="6" t="inlineStr">
        <is>
          <t>AWS Backup pricing page</t>
        </is>
      </c>
      <c r="E24" s="18" t="inlineStr">
        <is>
          <t>An S3 object under 128 KB is billed as 128 KB in a backup.</t>
        </is>
      </c>
    </row>
    <row r="25" ht="23.85" customHeight="1">
      <c r="A25" s="18" t="inlineStr">
        <is>
          <t>AWS Backup S3 backup: LIST requests</t>
        </is>
      </c>
      <c r="B25" s="40" t="n">
        <v>0.005</v>
      </c>
      <c r="C25" s="6" t="inlineStr">
        <is>
          <t>$ per 1,000 requests</t>
        </is>
      </c>
      <c r="D25" s="6" t="inlineStr">
        <is>
          <t>AWS Backup pricing page (example)</t>
        </is>
      </c>
      <c r="E25" s="18" t="inlineStr">
        <is>
          <t>Each S3 backup job lists the bucket ($0.05 per 10,000). Fractions of a cent for these small buckets.</t>
        </is>
      </c>
    </row>
    <row r="26" ht="15" customHeight="1">
      <c r="A26" s="18" t="inlineStr">
        <is>
          <t>AWS Backup S3: EventBridge events</t>
        </is>
      </c>
      <c r="B26" s="40" t="n">
        <v>1</v>
      </c>
      <c r="C26" s="6" t="inlineStr">
        <is>
          <t>$ per million events</t>
        </is>
      </c>
      <c r="D26" s="6" t="inlineStr">
        <is>
          <t>AWS Backup pricing page (example)</t>
        </is>
      </c>
      <c r="E26" s="18" t="inlineStr">
        <is>
          <t>Listed in AWS's S3 backup example. Fractions of a cent here.</t>
        </is>
      </c>
    </row>
    <row r="27" ht="36" customHeight="1">
      <c r="A27" s="18" t="inlineStr">
        <is>
          <t>Public IPv4 address (in use)</t>
        </is>
      </c>
      <c r="B27" s="40" t="n">
        <v>0.005</v>
      </c>
      <c r="C27" s="6" t="inlineStr">
        <is>
          <t>$ per hour</t>
        </is>
      </c>
      <c r="D27" s="6" t="inlineStr">
        <is>
          <t>AWS VPC public IPv4 price</t>
        </is>
      </c>
      <c r="E27" s="18" t="inlineStr">
        <is>
          <t>ec2-01 to ec2-07 launch in default-VPC subnets, which auto-assign one: billed while the instance runs, released when it stops. ec2-08, ec2-09 and ec2-backup-dr set associate_public_ip_address = false, so they have none.</t>
        </is>
      </c>
    </row>
    <row r="28" ht="36" customHeight="1">
      <c r="A28" s="18" t="inlineStr">
        <is>
          <t>Free items in the stacks</t>
        </is>
      </c>
      <c r="B28" s="40" t="n">
        <v>0</v>
      </c>
      <c r="C28" s="6" t="inlineStr">
        <is>
          <t>$</t>
        </is>
      </c>
      <c r="D28" s="6" t="inlineStr">
        <is>
          <t>AWS pricing pages</t>
        </is>
      </c>
      <c r="E28" s="18" t="inlineStr">
        <is>
          <t>Backup vaults, backup plans, selections, Vault Lock, vault access policies, IAM roles and policies, security groups, DLM policies, AMI registration (its snapshots bill as EBS snapshots), and backup / copy jobs themselves.</t>
        </is>
      </c>
    </row>
  </sheetData>
  <mergeCells count="1">
    <mergeCell ref="A2:E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8"/>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46" customWidth="1" min="1" max="1"/>
    <col width="16" customWidth="1" min="2" max="2"/>
    <col width="18" customWidth="1" min="3" max="3"/>
    <col width="18" customWidth="1" min="4" max="4"/>
    <col width="18" customWidth="1" min="5" max="5"/>
    <col width="18" customWidth="1" min="6" max="6"/>
    <col width="60" customWidth="1" min="7" max="7"/>
  </cols>
  <sheetData>
    <row r="1" ht="17.35" customHeight="1">
      <c r="A1" s="1" t="inlineStr">
        <is>
          <t>S3 object storage: cost of keeping an object</t>
        </is>
      </c>
    </row>
    <row r="2" ht="27.75" customHeight="1">
      <c r="A2" s="12" t="inlineStr">
        <is>
          <t>S3 Standard, us-east-1. Month = size x rate. Hour = month / 730. Day = hour x 24. The bucket itself is free; you pay for stored bytes and for requests.</t>
        </is>
      </c>
    </row>
    <row r="3"/>
    <row r="4">
      <c r="A4" s="4" t="inlineStr">
        <is>
          <t>A. Storage cost per object</t>
        </is>
      </c>
      <c r="B4" s="5" t="n"/>
      <c r="C4" s="5" t="n"/>
      <c r="D4" s="5" t="n"/>
      <c r="E4" s="5" t="n"/>
      <c r="F4" s="5" t="n"/>
      <c r="G4" s="5" t="n"/>
    </row>
    <row r="5" ht="42" customHeight="1">
      <c r="A5" s="3" t="inlineStr">
        <is>
          <t>Object size</t>
        </is>
      </c>
      <c r="B5" s="3" t="inlineStr">
        <is>
          <t>Size (GB)</t>
        </is>
      </c>
      <c r="C5" s="3" t="inlineStr">
        <is>
          <t>Rate ($/GB-month)</t>
        </is>
      </c>
      <c r="D5" s="3" t="inlineStr">
        <is>
          <t>Per hour (USD)</t>
        </is>
      </c>
      <c r="E5" s="3" t="inlineStr">
        <is>
          <t>Per day (USD)</t>
        </is>
      </c>
      <c r="F5" s="3" t="inlineStr">
        <is>
          <t>Per month (USD)</t>
        </is>
      </c>
      <c r="G5" s="3" t="inlineStr">
        <is>
          <t>Note</t>
        </is>
      </c>
    </row>
    <row r="6">
      <c r="A6" s="6" t="inlineStr">
        <is>
          <t>1 KB object</t>
        </is>
      </c>
      <c r="B6" s="41">
        <f>1/Rates!$B$5</f>
        <v>9.5367431640625e-07</v>
      </c>
      <c r="C6" s="42">
        <f>Rates!$B$10</f>
        <v>0.023</v>
      </c>
      <c r="D6" s="43">
        <f>F6/Rates!$B$4</f>
        <v>3.004727298266267e-11</v>
      </c>
      <c r="E6" s="43">
        <f>D6*24</f>
        <v>7.21134551583904e-10</v>
      </c>
      <c r="F6" s="43">
        <f>B6*C6</f>
        <v>2.193450927734375e-08</v>
      </c>
      <c r="G6" s="15" t="inlineStr">
        <is>
          <t>Smallest case. Storage is almost free; the PUT request costs far more (see below).</t>
        </is>
      </c>
    </row>
    <row r="7">
      <c r="A7" s="6" t="inlineStr">
        <is>
          <t>125.2 KB object (your test file)</t>
        </is>
      </c>
      <c r="B7" s="41">
        <f>125.2/Rates!$B$5</f>
        <v>0.0001194000244140625</v>
      </c>
      <c r="C7" s="42">
        <f>Rates!$B$10</f>
        <v>0.023</v>
      </c>
      <c r="D7" s="43">
        <f>F7/Rates!$B$4</f>
        <v>3.761918577429367e-09</v>
      </c>
      <c r="E7" s="43">
        <f>D7*24</f>
        <v>9.028604585830481e-08</v>
      </c>
      <c r="F7" s="43">
        <f>B7*C7</f>
        <v>2.7462005615234374e-06</v>
      </c>
      <c r="G7" s="15" t="inlineStr">
        <is>
          <t>The file you uploaded for the replication test.</t>
        </is>
      </c>
    </row>
    <row r="8">
      <c r="A8" s="6" t="inlineStr">
        <is>
          <t>1 MB object</t>
        </is>
      </c>
      <c r="B8" s="41">
        <f>1/Rates!$B$6</f>
        <v>0.0009765625</v>
      </c>
      <c r="C8" s="42">
        <f>Rates!$B$10</f>
        <v>0.023</v>
      </c>
      <c r="D8" s="43">
        <f>F8/Rates!$B$4</f>
        <v>3.076840753424657e-08</v>
      </c>
      <c r="E8" s="43">
        <f>D8*24</f>
        <v>7.384417808219177e-07</v>
      </c>
      <c r="F8" s="43">
        <f>B8*C8</f>
        <v>2.24609375e-05</v>
      </c>
      <c r="G8" s="15" t="inlineStr"/>
    </row>
    <row r="9">
      <c r="A9" s="6" t="inlineStr">
        <is>
          <t>1 GB object</t>
        </is>
      </c>
      <c r="B9" s="44" t="n">
        <v>1</v>
      </c>
      <c r="C9" s="42">
        <f>Rates!$B$10</f>
        <v>0.023</v>
      </c>
      <c r="D9" s="43">
        <f>F9/Rates!$B$4</f>
        <v>3.150684931506849e-05</v>
      </c>
      <c r="E9" s="43">
        <f>D9*24</f>
        <v>0.0007561643835616437</v>
      </c>
      <c r="F9" s="43">
        <f>B9*C9</f>
        <v>0.023</v>
      </c>
      <c r="G9" s="15" t="inlineStr">
        <is>
          <t>Reference size: this row IS the per-GB rate. The S3 scripts quote costs per 1 GB.</t>
        </is>
      </c>
    </row>
    <row r="10"/>
    <row r="11">
      <c r="A11" s="4" t="inlineStr">
        <is>
          <t>B. Request cost (one time, not per hour)</t>
        </is>
      </c>
      <c r="B11" s="5" t="n"/>
      <c r="C11" s="5" t="n"/>
      <c r="D11" s="5" t="n"/>
      <c r="E11" s="5" t="n"/>
      <c r="F11" s="5" t="n"/>
      <c r="G11" s="5" t="n"/>
    </row>
    <row r="12" ht="42" customHeight="1">
      <c r="A12" s="3" t="inlineStr">
        <is>
          <t>Request</t>
        </is>
      </c>
      <c r="B12" s="3" t="inlineStr">
        <is>
          <t>Count</t>
        </is>
      </c>
      <c r="C12" s="3" t="inlineStr">
        <is>
          <t>Rate ($ per 1,000)</t>
        </is>
      </c>
      <c r="D12" s="3" t="inlineStr">
        <is>
          <t>Cost (USD)</t>
        </is>
      </c>
      <c r="E12" s="3" t="inlineStr"/>
      <c r="F12" s="3" t="inlineStr"/>
      <c r="G12" s="3" t="inlineStr">
        <is>
          <t>Note</t>
        </is>
      </c>
    </row>
    <row r="13">
      <c r="A13" s="6" t="inlineStr">
        <is>
          <t>1 PUT (upload one object)</t>
        </is>
      </c>
      <c r="B13" s="24" t="n">
        <v>1</v>
      </c>
      <c r="C13" s="42">
        <f>Rates!$B$11</f>
        <v>0.005</v>
      </c>
      <c r="D13" s="43">
        <f>B13/1000*C13</f>
        <v>5e-06</v>
      </c>
      <c r="G13" s="15" t="inlineStr">
        <is>
          <t>Charged once per upload, whatever the object size.</t>
        </is>
      </c>
    </row>
    <row r="14">
      <c r="A14" s="6" t="inlineStr">
        <is>
          <t>1 GET (read one object)</t>
        </is>
      </c>
      <c r="B14" s="24" t="n">
        <v>1</v>
      </c>
      <c r="C14" s="42">
        <f>Rates!$B$12</f>
        <v>0.0004</v>
      </c>
      <c r="D14" s="43">
        <f>B14/1000*C14</f>
        <v>4.0000000000000003e-07</v>
      </c>
      <c r="G14" s="15" t="inlineStr"/>
    </row>
    <row r="15">
      <c r="A15" s="6" t="inlineStr">
        <is>
          <t>1,000 PUTs</t>
        </is>
      </c>
      <c r="B15" s="24" t="n">
        <v>1000</v>
      </c>
      <c r="C15" s="42">
        <f>Rates!$B$11</f>
        <v>0.005</v>
      </c>
      <c r="D15" s="43">
        <f>B15/1000*C15</f>
        <v>0.005</v>
      </c>
      <c r="G15" s="15" t="inlineStr"/>
    </row>
    <row r="16">
      <c r="A16" s="6" t="inlineStr">
        <is>
          <t>1,000,000 PUTs</t>
        </is>
      </c>
      <c r="B16" s="24" t="n">
        <v>1000000</v>
      </c>
      <c r="C16" s="42">
        <f>Rates!$B$11</f>
        <v>0.005</v>
      </c>
      <c r="D16" s="43">
        <f>B16/1000*C16</f>
        <v>5.0</v>
      </c>
      <c r="G16" s="15" t="inlineStr">
        <is>
          <t>Millions of tiny objects cost more in requests than in storage.</t>
        </is>
      </c>
    </row>
    <row r="17"/>
    <row r="18">
      <c r="A18" s="13" t="inlineStr">
        <is>
          <t>One PUT costs this many months of storing a 1 KB object:</t>
        </is>
      </c>
      <c r="D18" s="31">
        <f>D13/F6</f>
        <v>227.9513043478261</v>
      </c>
      <c r="E18" s="32" t="inlineStr">
        <is>
          <t>times</t>
        </is>
      </c>
    </row>
  </sheetData>
  <mergeCells count="1">
    <mergeCell ref="A2:G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4"/>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46" customWidth="1" min="1" max="1"/>
    <col width="18" customWidth="1" min="2" max="2"/>
    <col width="14" customWidth="1" min="3" max="3"/>
    <col width="16" customWidth="1" min="4" max="4"/>
    <col width="16" customWidth="1" min="5" max="5"/>
    <col width="16" customWidth="1" min="6" max="6"/>
    <col width="62" customWidth="1" min="7" max="7"/>
    <col width="22" customWidth="1" min="8" max="8"/>
  </cols>
  <sheetData>
    <row r="1" ht="17.35" customHeight="1">
      <c r="A1" s="1" t="inlineStr">
        <is>
          <t>EC2 instances, EBS volumes and EBS snapshots</t>
        </is>
      </c>
    </row>
    <row r="2" ht="27.75" customHeight="1">
      <c r="A2" s="12" t="inlineStr">
        <is>
          <t>us-east-1, Linux, on-demand. Month = 730 hours. A STOPPED instance costs $0 for compute (and loses its auto-assigned public IPv4), but its EBS volumes and snapshots keep billing.</t>
        </is>
      </c>
    </row>
    <row r="3"/>
    <row r="4">
      <c r="A4" s="4" t="inlineStr">
        <is>
          <t>A. Free-tier eligible instance types (accounts created on or after 15 July 2025)</t>
        </is>
      </c>
      <c r="B4" s="5" t="n"/>
      <c r="C4" s="5" t="n"/>
      <c r="D4" s="5" t="n"/>
      <c r="E4" s="5" t="n"/>
      <c r="F4" s="5" t="n"/>
      <c r="G4" s="5" t="n"/>
      <c r="H4" s="5" t="n"/>
    </row>
    <row r="5" ht="42" customHeight="1">
      <c r="A5" s="3" t="inlineStr">
        <is>
          <t>Instance type</t>
        </is>
      </c>
      <c r="B5" s="3" t="inlineStr">
        <is>
          <t>vCPU / memory</t>
        </is>
      </c>
      <c r="C5" s="3" t="inlineStr">
        <is>
          <t>Architecture</t>
        </is>
      </c>
      <c r="D5" s="3" t="inlineStr">
        <is>
          <t>Per hour (USD)</t>
        </is>
      </c>
      <c r="E5" s="3" t="inlineStr">
        <is>
          <t>Per day (USD)</t>
        </is>
      </c>
      <c r="F5" s="3" t="inlineStr">
        <is>
          <t>Per month (USD)</t>
        </is>
      </c>
      <c r="G5" s="3" t="inlineStr">
        <is>
          <t>Note (hourly price is the blue input cell)</t>
        </is>
      </c>
    </row>
    <row r="6" ht="22.35" customHeight="1">
      <c r="A6" s="6" t="inlineStr">
        <is>
          <t>t3.micro</t>
        </is>
      </c>
      <c r="B6" s="6" t="inlineStr">
        <is>
          <t>2 vCPU / 1 GiB</t>
        </is>
      </c>
      <c r="C6" s="6" t="inlineStr">
        <is>
          <t>x86 (Intel)</t>
        </is>
      </c>
      <c r="D6" s="40" t="n">
        <v>0.0104</v>
      </c>
      <c r="E6" s="43">
        <f>D6*24</f>
        <v>0.2496</v>
      </c>
      <c r="F6" s="43">
        <f>D6*Rates!$B$4</f>
        <v>7.592</v>
      </c>
      <c r="G6" s="15" t="inlineStr">
        <is>
          <t>Cheapest x86. The type used in every Terraform stack. Also free-tier eligible for pre-July-2025 accounts.</t>
        </is>
      </c>
    </row>
    <row r="7" ht="22.35" customHeight="1">
      <c r="A7" s="6" t="inlineStr">
        <is>
          <t>t3.small</t>
        </is>
      </c>
      <c r="B7" s="6" t="inlineStr">
        <is>
          <t>2 vCPU / 2 GiB</t>
        </is>
      </c>
      <c r="C7" s="6" t="inlineStr">
        <is>
          <t>x86 (Intel)</t>
        </is>
      </c>
      <c r="D7" s="40" t="n">
        <v>0.0208</v>
      </c>
      <c r="E7" s="43">
        <f>D7*24</f>
        <v>0.4992</v>
      </c>
      <c r="F7" s="43">
        <f>D7*Rates!$B$4</f>
        <v>15.184</v>
      </c>
      <c r="G7" s="15" t="inlineStr">
        <is>
          <t>Double the memory of t3.micro at double the price.</t>
        </is>
      </c>
    </row>
    <row r="8" ht="22.35" customHeight="1">
      <c r="A8" s="6" t="inlineStr">
        <is>
          <t>t4g.micro</t>
        </is>
      </c>
      <c r="B8" s="6" t="inlineStr">
        <is>
          <t>2 vCPU / 1 GiB</t>
        </is>
      </c>
      <c r="C8" s="6" t="inlineStr">
        <is>
          <t>Arm (Graviton)</t>
        </is>
      </c>
      <c r="D8" s="40" t="n">
        <v>0.008399999999999999</v>
      </c>
      <c r="E8" s="43">
        <f>D8*24</f>
        <v>0.2016</v>
      </c>
      <c r="F8" s="43">
        <f>D8*Rates!$B$4</f>
        <v>6.132</v>
      </c>
      <c r="G8" s="15" t="inlineStr">
        <is>
          <t>Cheapest of the four. Needs an Arm64 AMI, so scripts that look up an x86_64 AMI will not launch it.</t>
        </is>
      </c>
    </row>
    <row r="9" ht="22.35" customHeight="1">
      <c r="A9" s="6" t="inlineStr">
        <is>
          <t>t4g.small</t>
        </is>
      </c>
      <c r="B9" s="6" t="inlineStr">
        <is>
          <t>2 vCPU / 2 GiB</t>
        </is>
      </c>
      <c r="C9" s="6" t="inlineStr">
        <is>
          <t>Arm (Graviton)</t>
        </is>
      </c>
      <c r="D9" s="40" t="n">
        <v>0.0168</v>
      </c>
      <c r="E9" s="43">
        <f>D9*24</f>
        <v>0.4032</v>
      </c>
      <c r="F9" s="43">
        <f>D9*Rates!$B$4</f>
        <v>12.264</v>
      </c>
      <c r="G9" s="15" t="inlineStr">
        <is>
          <t>Needs an Arm64 AMI.</t>
        </is>
      </c>
    </row>
    <row r="10" ht="39.75" customHeight="1">
      <c r="A10" s="12" t="inlineStr">
        <is>
          <t>Free-tier rule (AWS EC2 docs): accounts created on or after 15 Jul 2025 can run t3.micro, t3.small, t4g.micro, t4g.small, c7i-flex.large and m7i-flex.large using the $100-$200 credit, for up to 6 months. Accounts created before that date get t2.micro and t3.micro, 750 hours/month for 12 months. To list yours: aws ec2 describe-instance-types --filters Name=free-tier-eligible,Values=true</t>
        </is>
      </c>
    </row>
    <row r="11" ht="22.35" customHeight="1">
      <c r="A11" s="6" t="inlineStr">
        <is>
          <t>Stopped instance (any type)</t>
        </is>
      </c>
      <c r="D11" s="43" t="n">
        <v>0</v>
      </c>
      <c r="E11" s="43">
        <f>D11*24</f>
        <v>0</v>
      </c>
      <c r="F11" s="43">
        <f>D11*Rates!$B$4</f>
        <v>0</v>
      </c>
      <c r="G11" s="15" t="inlineStr">
        <is>
          <t>Compute stops billing; attached EBS volumes do not.</t>
        </is>
      </c>
    </row>
    <row r="12" ht="22.35" customHeight="1">
      <c r="A12" s="6" t="inlineStr">
        <is>
          <t>Public IPv4 address (auto-assigned, while running)</t>
        </is>
      </c>
      <c r="D12" s="37">
        <f>Rates!$B$27</f>
        <v>0.005</v>
      </c>
      <c r="E12" s="43">
        <f>D12*24</f>
        <v>0.12</v>
      </c>
      <c r="F12" s="43">
        <f>D12*Rates!$B$4</f>
        <v>3.65</v>
      </c>
      <c r="G12" s="15" t="inlineStr">
        <is>
          <t>ec2-01 to ec2-07 get one from the default VPC. Released (and no longer billed) when the instance stops. ec2-08, ec2-09 and ec2-backup-dr assign none.</t>
        </is>
      </c>
    </row>
    <row r="13"/>
    <row r="14">
      <c r="A14" s="4" t="inlineStr">
        <is>
          <t>B. EBS volume with the minimum configuration (gp3)</t>
        </is>
      </c>
      <c r="B14" s="5" t="n"/>
      <c r="C14" s="5" t="n"/>
      <c r="D14" s="5" t="n"/>
      <c r="E14" s="5" t="n"/>
      <c r="F14" s="5" t="n"/>
      <c r="G14" s="5" t="n"/>
      <c r="H14" s="5" t="n"/>
    </row>
    <row r="15" ht="42" customHeight="1">
      <c r="A15" s="3" t="inlineStr">
        <is>
          <t>Volume</t>
        </is>
      </c>
      <c r="B15" s="3" t="inlineStr">
        <is>
          <t>Size (GiB)</t>
        </is>
      </c>
      <c r="C15" s="3" t="inlineStr">
        <is>
          <t>Rate ($/GB-month)</t>
        </is>
      </c>
      <c r="D15" s="3" t="inlineStr">
        <is>
          <t>Per hour (USD)</t>
        </is>
      </c>
      <c r="E15" s="3" t="inlineStr">
        <is>
          <t>Per day (USD)</t>
        </is>
      </c>
      <c r="F15" s="3" t="inlineStr">
        <is>
          <t>Per month (USD)</t>
        </is>
      </c>
      <c r="G15" s="3" t="inlineStr">
        <is>
          <t>Note</t>
        </is>
      </c>
    </row>
    <row r="16">
      <c r="A16" s="6" t="inlineStr">
        <is>
          <t>gp3, 1 GiB (smallest allowed)</t>
        </is>
      </c>
      <c r="B16" s="20" t="n">
        <v>1</v>
      </c>
      <c r="C16" s="42">
        <f>Rates!$B$16</f>
        <v>0.08</v>
      </c>
      <c r="D16" s="43">
        <f>F16/Rates!$B$4</f>
        <v>0.00010958904109589041</v>
      </c>
      <c r="E16" s="43">
        <f>D16*24</f>
        <v>0.00263013698630137</v>
      </c>
      <c r="F16" s="43">
        <f>B16*C16</f>
        <v>0.08</v>
      </c>
      <c r="G16" s="15" t="inlineStr">
        <is>
          <t>The data volume in ec2-02 to ec2-05, ec2-09 and ec2-backup-dr.</t>
        </is>
      </c>
    </row>
    <row r="17">
      <c r="A17" s="6" t="inlineStr">
        <is>
          <t>gp3, 8 GiB (Amazon Linux 2023 root minimum)</t>
        </is>
      </c>
      <c r="B17" s="20" t="n">
        <v>8</v>
      </c>
      <c r="C17" s="42">
        <f>Rates!$B$16</f>
        <v>0.08</v>
      </c>
      <c r="D17" s="43">
        <f>F17/Rates!$B$4</f>
        <v>0.0008767123287671233</v>
      </c>
      <c r="E17" s="43">
        <f>D17*24</f>
        <v>0.02104109589041096</v>
      </c>
      <c r="F17" s="43">
        <f>B17*C17</f>
        <v>0.64</v>
      </c>
      <c r="G17" s="15" t="inlineStr">
        <is>
          <t>The root volume in every EC2 stack.</t>
        </is>
      </c>
    </row>
    <row r="18"/>
    <row r="19">
      <c r="A19" s="13" t="inlineStr">
        <is>
          <t>Hours the snapshot is kept (edit):</t>
        </is>
      </c>
      <c r="B19" s="20" t="n">
        <v>24</v>
      </c>
    </row>
    <row r="20">
      <c r="A20" s="4" t="inlineStr">
        <is>
          <t>C. EBS snapshot (billed on used blocks, not on volume size)</t>
        </is>
      </c>
      <c r="B20" s="5" t="n"/>
      <c r="C20" s="5" t="n"/>
      <c r="D20" s="5" t="n"/>
      <c r="E20" s="5" t="n"/>
      <c r="F20" s="5" t="n"/>
      <c r="G20" s="5" t="n"/>
      <c r="H20" s="5" t="n"/>
    </row>
    <row r="21" ht="42" customHeight="1">
      <c r="A21" s="3" t="inlineStr">
        <is>
          <t>Snapshot</t>
        </is>
      </c>
      <c r="B21" s="3" t="inlineStr">
        <is>
          <t>Used data (GB)</t>
        </is>
      </c>
      <c r="C21" s="3" t="inlineStr">
        <is>
          <t>Rate ($/GB-month)</t>
        </is>
      </c>
      <c r="D21" s="3" t="inlineStr">
        <is>
          <t>Per hour (USD)</t>
        </is>
      </c>
      <c r="E21" s="3" t="inlineStr">
        <is>
          <t>Per day (USD)</t>
        </is>
      </c>
      <c r="F21" s="3" t="inlineStr">
        <is>
          <t>Per month (USD)</t>
        </is>
      </c>
      <c r="G21" s="3" t="inlineStr">
        <is>
          <t>Note</t>
        </is>
      </c>
      <c r="H21" s="3" t="str">
        <f>"Cost if kept "&amp;$B$19&amp;" hours (USD)"</f>
        <v>Cost if kept 24 hours (USD)</v>
      </c>
    </row>
    <row r="22">
      <c r="A22" s="6" t="inlineStr">
        <is>
          <t>Snapshot, 1 GB used</t>
        </is>
      </c>
      <c r="B22" s="14" t="n">
        <v>1</v>
      </c>
      <c r="C22" s="42">
        <f>Rates!$B$17</f>
        <v>0.05</v>
      </c>
      <c r="D22" s="43">
        <f>F22/Rates!$B$4</f>
        <v>6.849315068493152e-05</v>
      </c>
      <c r="E22" s="43">
        <f>D22*24</f>
        <v>0.0016438356164383563</v>
      </c>
      <c r="F22" s="43">
        <f>B22*C22</f>
        <v>0.05</v>
      </c>
      <c r="G22" s="15" t="inlineStr">
        <is>
          <t>Fresh instance with almost nothing on the disk.</t>
        </is>
      </c>
      <c r="H22" s="43">
        <f>D22*$B$19</f>
        <v>0.0016438356164383563</v>
      </c>
    </row>
    <row r="23">
      <c r="A23" s="6" t="inlineStr">
        <is>
          <t>Snapshot, 1 GB used (root volume, used in all totals)</t>
        </is>
      </c>
      <c r="B23" s="14" t="n">
        <v>1</v>
      </c>
      <c r="C23" s="42">
        <f>Rates!$B$17</f>
        <v>0.05</v>
      </c>
      <c r="D23" s="43">
        <f>F23/Rates!$B$4</f>
        <v>6.849315068493152e-05</v>
      </c>
      <c r="E23" s="43">
        <f>D23*24</f>
        <v>0.0016438356164383563</v>
      </c>
      <c r="F23" s="43">
        <f>B23*C23</f>
        <v>0.05</v>
      </c>
      <c r="G23" s="15" t="inlineStr">
        <is>
          <t>Root-volume snapshot size used on every sheet.</t>
        </is>
      </c>
      <c r="H23" s="43">
        <f>D23*$B$19</f>
        <v>0.0016438356164383563</v>
      </c>
    </row>
    <row r="24">
      <c r="A24" s="6" t="inlineStr">
        <is>
          <t>Snapshot, 8 GB used (full 8 GiB volume)</t>
        </is>
      </c>
      <c r="B24" s="14" t="n">
        <v>8</v>
      </c>
      <c r="C24" s="42">
        <f>Rates!$B$17</f>
        <v>0.05</v>
      </c>
      <c r="D24" s="43">
        <f>F24/Rates!$B$4</f>
        <v>0.0005479452054794521</v>
      </c>
      <c r="E24" s="43">
        <f>D24*24</f>
        <v>0.01315068493150685</v>
      </c>
      <c r="F24" s="43">
        <f>B24*C24</f>
        <v>0.4</v>
      </c>
      <c r="G24" s="15" t="inlineStr">
        <is>
          <t>Worst case for an 8 GiB disk: every block in use.</t>
        </is>
      </c>
      <c r="H24" s="43">
        <f>D24*$B$19</f>
        <v>0.01315068493150685</v>
      </c>
    </row>
    <row r="25" ht="30" customHeight="1">
      <c r="A25" s="12" t="inlineStr">
        <is>
          <t>Snapshot billing: there is no fee to create one. The first snapshot copies every used block; each later snapshot stores only blocks that changed. Deleting a snapshot frees only the blocks no later snapshot needs, so deleting early saves little.</t>
        </is>
      </c>
    </row>
    <row r="26"/>
    <row r="27">
      <c r="A27" s="4" t="inlineStr">
        <is>
          <t>D. Whole stack: one t3.micro + public IPv4 + 8 GiB root volume + one 1 GB snapshot</t>
        </is>
      </c>
      <c r="B27" s="5" t="n"/>
      <c r="C27" s="5" t="n"/>
      <c r="D27" s="5" t="n"/>
      <c r="E27" s="5" t="n"/>
      <c r="F27" s="5" t="n"/>
      <c r="G27" s="5" t="n"/>
      <c r="H27" s="5" t="n"/>
    </row>
    <row r="28" ht="42" customHeight="1">
      <c r="A28" s="3" t="inlineStr">
        <is>
          <t>Component</t>
        </is>
      </c>
      <c r="B28" s="3" t="inlineStr"/>
      <c r="C28" s="3" t="inlineStr"/>
      <c r="D28" s="3" t="inlineStr">
        <is>
          <t>Per hour (USD)</t>
        </is>
      </c>
      <c r="E28" s="3" t="inlineStr">
        <is>
          <t>Per day (USD)</t>
        </is>
      </c>
      <c r="F28" s="3" t="inlineStr">
        <is>
          <t>Per month (USD)</t>
        </is>
      </c>
      <c r="G28" s="3" t="inlineStr">
        <is>
          <t>Note</t>
        </is>
      </c>
    </row>
    <row r="29">
      <c r="A29" s="6" t="inlineStr">
        <is>
          <t>t3.micro, running</t>
        </is>
      </c>
      <c r="D29" s="43">
        <f>D6</f>
        <v>0.0104</v>
      </c>
      <c r="E29" s="43">
        <f>D29*24</f>
        <v>0.2496</v>
      </c>
      <c r="F29" s="43">
        <f>F6</f>
        <v>7.592</v>
      </c>
      <c r="G29" s="15" t="inlineStr">
        <is>
          <t>Compute</t>
        </is>
      </c>
    </row>
    <row r="30">
      <c r="A30" s="6" t="inlineStr">
        <is>
          <t>Public IPv4 (auto-assigned)</t>
        </is>
      </c>
      <c r="D30" s="43">
        <f>D12</f>
        <v>0.005</v>
      </c>
      <c r="E30" s="43">
        <f>D30*24</f>
        <v>0.12</v>
      </c>
      <c r="F30" s="43">
        <f>F12</f>
        <v>3.65</v>
      </c>
      <c r="G30" s="15" t="inlineStr">
        <is>
          <t>Only while running; ec2-08, ec2-09, ec2-backup-dr have none</t>
        </is>
      </c>
    </row>
    <row r="31">
      <c r="A31" s="6" t="inlineStr">
        <is>
          <t>8 GiB gp3 root volume</t>
        </is>
      </c>
      <c r="D31" s="43">
        <f>D17</f>
        <v>0.0008767123287671233</v>
      </c>
      <c r="E31" s="43">
        <f>D31*24</f>
        <v>0.02104109589041096</v>
      </c>
      <c r="F31" s="43">
        <f>F17</f>
        <v>0.64</v>
      </c>
      <c r="G31" s="15" t="inlineStr">
        <is>
          <t>Billed running or stopped</t>
        </is>
      </c>
    </row>
    <row r="32">
      <c r="A32" s="6" t="inlineStr">
        <is>
          <t>1 GB snapshot</t>
        </is>
      </c>
      <c r="D32" s="43">
        <f>D23</f>
        <v>6.849315068493152e-05</v>
      </c>
      <c r="E32" s="43">
        <f>D32*24</f>
        <v>0.0016438356164383563</v>
      </c>
      <c r="F32" s="43">
        <f>F23</f>
        <v>0.05</v>
      </c>
      <c r="G32" s="15" t="inlineStr">
        <is>
          <t>Standard tier</t>
        </is>
      </c>
    </row>
    <row r="33">
      <c r="A33" s="9" t="inlineStr">
        <is>
          <t>Total, instance running</t>
        </is>
      </c>
      <c r="D33" s="45">
        <f>SUM(D29:D32)</f>
        <v>0.016345205479452056</v>
      </c>
      <c r="E33" s="45">
        <f>SUM(E29:E32)</f>
        <v>0.3922849315068493</v>
      </c>
      <c r="F33" s="45">
        <f>SUM(F29:F32)</f>
        <v>11.932</v>
      </c>
    </row>
    <row r="34">
      <c r="A34" s="9" t="inlineStr">
        <is>
          <t>Total, instance stopped</t>
        </is>
      </c>
      <c r="D34" s="45">
        <f>SUM(D31:D32)</f>
        <v>0.0009452054794520548</v>
      </c>
      <c r="E34" s="45">
        <f>SUM(E31:E32)</f>
        <v>0.022684931506849314</v>
      </c>
      <c r="F34" s="45">
        <f>SUM(F31:F32)</f>
        <v>0.6900000000000001</v>
      </c>
      <c r="G34" s="15" t="inlineStr">
        <is>
          <t>Compute and public IPv4 removed; volume and snapshot remain.</t>
        </is>
      </c>
    </row>
  </sheetData>
  <mergeCells count="3">
    <mergeCell ref="A25:H25"/>
    <mergeCell ref="A2:H2"/>
    <mergeCell ref="A10:H10"/>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33"/>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46" customWidth="1" min="1" max="1"/>
    <col width="18" customWidth="1" min="2" max="2"/>
    <col width="18" customWidth="1" min="3" max="3"/>
    <col width="16" customWidth="1" min="4" max="4"/>
    <col width="16" customWidth="1" min="5" max="5"/>
    <col width="18" customWidth="1" min="6" max="6"/>
    <col width="16" customWidth="1" min="7" max="7"/>
    <col width="16" customWidth="1" min="8" max="8"/>
    <col width="18" customWidth="1" min="9" max="9"/>
    <col width="60" customWidth="1" min="10" max="10"/>
  </cols>
  <sheetData>
    <row r="1" ht="17.35" customHeight="1">
      <c r="A1" s="1" t="inlineStr">
        <is>
          <t>AWS Backup: backup job, copy job and restore</t>
        </is>
      </c>
    </row>
    <row r="2" ht="27.75" customHeight="1">
      <c r="A2" s="12" t="inlineStr">
        <is>
          <t>AWS Backup charges NO fee per backup job or copy job. You pay for the storage the recovery point occupies, for data leaving a region on a copy, and for the storage the copy occupies at the destination.</t>
        </is>
      </c>
    </row>
    <row r="3"/>
    <row r="4">
      <c r="A4" s="4" t="inlineStr">
        <is>
          <t>A. Backup storage: what one recovery point costs to keep in the vault</t>
        </is>
      </c>
      <c r="B4" s="5" t="n"/>
      <c r="C4" s="5" t="n"/>
      <c r="D4" s="5" t="n"/>
      <c r="E4" s="5" t="n"/>
      <c r="F4" s="5" t="n"/>
      <c r="G4" s="5" t="n"/>
      <c r="H4" s="5" t="n"/>
      <c r="I4" s="5" t="n"/>
      <c r="J4" s="5" t="n"/>
    </row>
    <row r="5" ht="42" customHeight="1">
      <c r="A5" s="3" t="inlineStr">
        <is>
          <t>Backed-up item</t>
        </is>
      </c>
      <c r="B5" s="3" t="inlineStr">
        <is>
          <t>Billed size (GB)</t>
        </is>
      </c>
      <c r="C5" s="3" t="inlineStr">
        <is>
          <t>Rate ($/GB-month)</t>
        </is>
      </c>
      <c r="D5" s="3" t="inlineStr">
        <is>
          <t>Per hour (USD)</t>
        </is>
      </c>
      <c r="E5" s="3" t="inlineStr">
        <is>
          <t>Per day (USD)</t>
        </is>
      </c>
      <c r="F5" s="3" t="inlineStr">
        <is>
          <t>Per month (USD)</t>
        </is>
      </c>
      <c r="G5" s="3" t="inlineStr">
        <is>
          <t>Note</t>
        </is>
      </c>
    </row>
    <row r="6" ht="22.35" customHeight="1">
      <c r="A6" s="18" t="inlineStr">
        <is>
          <t>S3 object, 1 KB (billed as 128 KB)</t>
        </is>
      </c>
      <c r="B6" s="41">
        <f>MAX(1/Rates!$B$5,Rates!$B$24/Rates!$B$5)</f>
        <v>0.0001220703125</v>
      </c>
      <c r="C6" s="42">
        <f>Rates!$B$20</f>
        <v>0.05</v>
      </c>
      <c r="D6" s="43">
        <f>F6/Rates!$B$4</f>
        <v>8.360980308219179e-09</v>
      </c>
      <c r="E6" s="43">
        <f>D6*24</f>
        <v>2.0066352739726029e-07</v>
      </c>
      <c r="F6" s="43">
        <f>B6*C6</f>
        <v>6.103515625e-06</v>
      </c>
      <c r="G6" s="15" t="inlineStr">
        <is>
          <t>AWS Backup bills any S3 object under 128 KB as 128 KB: 128x what the object really weighs.</t>
        </is>
      </c>
      <c r="H6" s="16" t="n"/>
      <c r="I6" s="16" t="n"/>
      <c r="J6" s="17" t="n"/>
    </row>
    <row r="7" ht="22.35" customHeight="1">
      <c r="A7" s="18" t="inlineStr">
        <is>
          <t>S3 object, 1 MB</t>
        </is>
      </c>
      <c r="B7" s="41">
        <f>MAX(1/Rates!$B$6,Rates!$B$24/Rates!$B$5)</f>
        <v>0.0009765625</v>
      </c>
      <c r="C7" s="42">
        <f>Rates!$B$20</f>
        <v>0.05</v>
      </c>
      <c r="D7" s="43">
        <f>F7/Rates!$B$4</f>
        <v>6.688784246575343e-08</v>
      </c>
      <c r="E7" s="43">
        <f>D7*24</f>
        <v>1.6053082191780823e-06</v>
      </c>
      <c r="F7" s="43">
        <f>B7*C7</f>
        <v>4.8828125e-05</v>
      </c>
      <c r="G7" s="15" t="inlineStr"/>
      <c r="H7" s="16" t="n"/>
      <c r="I7" s="16" t="n"/>
      <c r="J7" s="17" t="n"/>
    </row>
    <row r="8" ht="22.35" customHeight="1">
      <c r="A8" s="18" t="inlineStr">
        <is>
          <t>S3 object, 1 GB</t>
        </is>
      </c>
      <c r="B8" s="41">
        <f>MAX(1,Rates!$B$24/Rates!$B$5)</f>
        <v>1</v>
      </c>
      <c r="C8" s="42">
        <f>Rates!$B$20</f>
        <v>0.05</v>
      </c>
      <c r="D8" s="43">
        <f>F8/Rates!$B$4</f>
        <v>6.849315068493152e-05</v>
      </c>
      <c r="E8" s="43">
        <f>D8*24</f>
        <v>0.0016438356164383563</v>
      </c>
      <c r="F8" s="43">
        <f>B8*C8</f>
        <v>0.05</v>
      </c>
      <c r="G8" s="15" t="inlineStr">
        <is>
          <t>What the S3 backup scripts quote (per 1 GB of bucket data).</t>
        </is>
      </c>
      <c r="H8" s="16" t="n"/>
      <c r="I8" s="16" t="n"/>
      <c r="J8" s="17" t="n"/>
    </row>
    <row r="9" ht="22.35" customHeight="1">
      <c r="A9" s="18" t="inlineStr">
        <is>
          <t>EC2 instance backup, 1 GB used</t>
        </is>
      </c>
      <c r="B9" s="44" t="n">
        <v>1</v>
      </c>
      <c r="C9" s="42">
        <f>Rates!$B$20</f>
        <v>0.05</v>
      </c>
      <c r="D9" s="43">
        <f>F9/Rates!$B$4</f>
        <v>6.849315068493152e-05</v>
      </c>
      <c r="E9" s="43">
        <f>D9*24</f>
        <v>0.0016438356164383563</v>
      </c>
      <c r="F9" s="43">
        <f>B9*C9</f>
        <v>0.05</v>
      </c>
      <c r="G9" s="15" t="inlineStr">
        <is>
          <t>Instance config + root volume snapshot, billed on used blocks. ec2-06, ec2-07, ec2-08.</t>
        </is>
      </c>
      <c r="H9" s="16" t="n"/>
      <c r="I9" s="16" t="n"/>
      <c r="J9" s="17" t="n"/>
    </row>
    <row r="10" ht="22.35" customHeight="1">
      <c r="A10" s="18" t="inlineStr">
        <is>
          <t>EC2 instance backup, 8 GB used (full 8 GiB root)</t>
        </is>
      </c>
      <c r="B10" s="44" t="n">
        <v>8</v>
      </c>
      <c r="C10" s="42">
        <f>Rates!$B$20</f>
        <v>0.05</v>
      </c>
      <c r="D10" s="43">
        <f>F10/Rates!$B$4</f>
        <v>0.0005479452054794521</v>
      </c>
      <c r="E10" s="43">
        <f>D10*24</f>
        <v>0.01315068493150685</v>
      </c>
      <c r="F10" s="43">
        <f>B10*C10</f>
        <v>0.4</v>
      </c>
      <c r="G10" s="15" t="inlineStr">
        <is>
          <t>Worst case.</t>
        </is>
      </c>
      <c r="H10" s="16" t="n"/>
      <c r="I10" s="16" t="n"/>
      <c r="J10" s="17" t="n"/>
    </row>
    <row r="11" ht="22.35" customHeight="1">
      <c r="A11" s="18" t="inlineStr">
        <is>
          <t>EBS data volume backup, new and empty (ec2-09)</t>
        </is>
      </c>
      <c r="B11" s="44" t="n">
        <v>0</v>
      </c>
      <c r="C11" s="42">
        <f>Rates!$B$20</f>
        <v>0.05</v>
      </c>
      <c r="D11" s="43">
        <f>F11/Rates!$B$4</f>
        <v>0.0</v>
      </c>
      <c r="E11" s="43">
        <f>D11*24</f>
        <v>0</v>
      </c>
      <c r="F11" s="43">
        <f>B11*C11</f>
        <v>0.0</v>
      </c>
      <c r="G11" s="15" t="inlineStr">
        <is>
          <t>A new 1 GiB volume has no used blocks, so its snapshot is ~0 GB until you write data.</t>
        </is>
      </c>
      <c r="H11" s="16" t="n"/>
      <c r="I11" s="16" t="n"/>
      <c r="J11" s="17" t="n"/>
    </row>
    <row r="12"/>
    <row r="13">
      <c r="A13" s="4" t="inlineStr">
        <is>
          <t>B. Copy job to a second region: one-time transfer, then storage in the destination vault</t>
        </is>
      </c>
      <c r="B13" s="5" t="n"/>
      <c r="C13" s="5" t="n"/>
      <c r="D13" s="5" t="n"/>
      <c r="E13" s="5" t="n"/>
      <c r="F13" s="5" t="n"/>
      <c r="G13" s="5" t="n"/>
      <c r="H13" s="5" t="n"/>
      <c r="I13" s="5" t="n"/>
      <c r="J13" s="5" t="n"/>
    </row>
    <row r="14" ht="42" customHeight="1">
      <c r="A14" s="3" t="inlineStr">
        <is>
          <t>Copied item</t>
        </is>
      </c>
      <c r="B14" s="3" t="inlineStr">
        <is>
          <t>Data transferred (GB)</t>
        </is>
      </c>
      <c r="C14" s="3" t="inlineStr">
        <is>
          <t>Stored at destination (GB)</t>
        </is>
      </c>
      <c r="D14" s="3" t="inlineStr">
        <is>
          <t>Transfer rate ($/GB)</t>
        </is>
      </c>
      <c r="E14" s="3" t="inlineStr">
        <is>
          <t>Transfer, once (USD)</t>
        </is>
      </c>
      <c r="F14" s="3" t="inlineStr">
        <is>
          <t>Destination storage per hour (USD)</t>
        </is>
      </c>
      <c r="G14" s="3" t="inlineStr">
        <is>
          <t>per day (USD)</t>
        </is>
      </c>
      <c r="H14" s="3" t="inlineStr">
        <is>
          <t>per month (USD)</t>
        </is>
      </c>
      <c r="I14" s="3" t="inlineStr">
        <is>
          <t>First month total (USD)</t>
        </is>
      </c>
      <c r="J14" s="3" t="inlineStr">
        <is>
          <t>Note</t>
        </is>
      </c>
    </row>
    <row r="15">
      <c r="A15" s="6" t="inlineStr">
        <is>
          <t>EC2 instance, 1 GB used</t>
        </is>
      </c>
      <c r="B15" s="41">
        <f>B9</f>
        <v>1</v>
      </c>
      <c r="C15" s="41">
        <f>B9</f>
        <v>1</v>
      </c>
      <c r="D15" s="42">
        <f>Rates!$B$22</f>
        <v>0.02</v>
      </c>
      <c r="E15" s="43">
        <f>B15*D15</f>
        <v>0.02</v>
      </c>
      <c r="F15" s="43">
        <f>H15/Rates!$B$4</f>
        <v>6.849315068493152e-05</v>
      </c>
      <c r="G15" s="43">
        <f>F15*24</f>
        <v>0.0016438356164383563</v>
      </c>
      <c r="H15" s="43">
        <f>C15*Rates!$B$20</f>
        <v>0.05</v>
      </c>
      <c r="I15" s="43">
        <f>E15+H15</f>
        <v>0.07</v>
      </c>
      <c r="J15" s="15" t="inlineStr">
        <is>
          <t>Transfer rate is the EBS / EC2 rate.</t>
        </is>
      </c>
    </row>
    <row r="16">
      <c r="A16" s="6" t="inlineStr">
        <is>
          <t>EC2 instance, 8 GB used</t>
        </is>
      </c>
      <c r="B16" s="41">
        <f>B10</f>
        <v>8</v>
      </c>
      <c r="C16" s="41">
        <f>B10</f>
        <v>8</v>
      </c>
      <c r="D16" s="42">
        <f>Rates!$B$22</f>
        <v>0.02</v>
      </c>
      <c r="E16" s="43">
        <f>B16*D16</f>
        <v>0.16</v>
      </c>
      <c r="F16" s="43">
        <f>H16/Rates!$B$4</f>
        <v>0.0005479452054794521</v>
      </c>
      <c r="G16" s="43">
        <f>F16*24</f>
        <v>0.01315068493150685</v>
      </c>
      <c r="H16" s="43">
        <f>C16*Rates!$B$20</f>
        <v>0.4</v>
      </c>
      <c r="I16" s="43">
        <f>E16+H16</f>
        <v>0.56</v>
      </c>
      <c r="J16" s="15" t="inlineStr"/>
    </row>
    <row r="17">
      <c r="A17" s="6" t="inlineStr">
        <is>
          <t>S3 object, 1 KB</t>
        </is>
      </c>
      <c r="B17" s="41">
        <f>1/Rates!$B$5</f>
        <v>9.5367431640625e-07</v>
      </c>
      <c r="C17" s="41">
        <f>B6</f>
        <v>0.0001220703125</v>
      </c>
      <c r="D17" s="42">
        <f>Rates!$B$23</f>
        <v>0.02</v>
      </c>
      <c r="E17" s="43">
        <f>B17*D17</f>
        <v>1.9073486328125e-08</v>
      </c>
      <c r="F17" s="43">
        <f>H17/Rates!$B$4</f>
        <v>8.360980308219179e-09</v>
      </c>
      <c r="G17" s="43">
        <f>F17*24</f>
        <v>2.0066352739726029e-07</v>
      </c>
      <c r="H17" s="43">
        <f>C17*Rates!$B$20</f>
        <v>6.103515625e-06</v>
      </c>
      <c r="I17" s="43">
        <f>E17+H17</f>
        <v>6.122589111328125e-06</v>
      </c>
      <c r="J17" s="15" t="inlineStr">
        <is>
          <t>Transfers 1 KB but is STORED (billed) as 128 KB at the destination.</t>
        </is>
      </c>
    </row>
    <row r="18">
      <c r="A18" s="6" t="inlineStr">
        <is>
          <t>S3 object, 1 MB</t>
        </is>
      </c>
      <c r="B18" s="41">
        <f>1/Rates!$B$6</f>
        <v>0.0009765625</v>
      </c>
      <c r="C18" s="41">
        <f>B7</f>
        <v>0.0009765625</v>
      </c>
      <c r="D18" s="42">
        <f>Rates!$B$23</f>
        <v>0.02</v>
      </c>
      <c r="E18" s="43">
        <f>B18*D18</f>
        <v>1.953125e-05</v>
      </c>
      <c r="F18" s="43">
        <f>H18/Rates!$B$4</f>
        <v>6.688784246575343e-08</v>
      </c>
      <c r="G18" s="43">
        <f>F18*24</f>
        <v>1.6053082191780823e-06</v>
      </c>
      <c r="H18" s="43">
        <f>C18*Rates!$B$20</f>
        <v>4.8828125e-05</v>
      </c>
      <c r="I18" s="43">
        <f>E18+H18</f>
        <v>6.8359375e-05</v>
      </c>
      <c r="J18" s="15" t="inlineStr">
        <is>
          <t>Uses the S3 transfer rate, which is not yet confirmed (see Rates).</t>
        </is>
      </c>
    </row>
    <row r="19">
      <c r="A19" s="6" t="inlineStr">
        <is>
          <t>S3 object, 1 GB</t>
        </is>
      </c>
      <c r="B19" s="41" t="n">
        <v>1</v>
      </c>
      <c r="C19" s="41">
        <f>B8</f>
        <v>1</v>
      </c>
      <c r="D19" s="42">
        <f>Rates!$B$23</f>
        <v>0.02</v>
      </c>
      <c r="E19" s="43">
        <f>B19*D19</f>
        <v>0.02</v>
      </c>
      <c r="F19" s="43">
        <f>H19/Rates!$B$4</f>
        <v>6.849315068493152e-05</v>
      </c>
      <c r="G19" s="43">
        <f>F19*24</f>
        <v>0.0016438356164383563</v>
      </c>
      <c r="H19" s="43">
        <f>C19*Rates!$B$20</f>
        <v>0.05</v>
      </c>
      <c r="I19" s="43">
        <f>E19+H19</f>
        <v>0.07</v>
      </c>
      <c r="J19" s="15" t="inlineStr"/>
    </row>
    <row r="20" ht="30" customHeight="1">
      <c r="A20" s="12" t="inlineStr">
        <is>
          <t>A copy is billed three times: storage of the original (table A), transfer out of the source region (once), and storage of the copy at the destination (monthly). Cancelling a copy job part-way still bills the data already sent. Copies into a Vault-Locked vault must use a retention inside the lock's min/max.</t>
        </is>
      </c>
    </row>
    <row r="21"/>
    <row r="22">
      <c r="A22" s="4" t="inlineStr">
        <is>
          <t>C. Restore</t>
        </is>
      </c>
      <c r="B22" s="5" t="n"/>
      <c r="C22" s="5" t="n"/>
      <c r="D22" s="5" t="n"/>
      <c r="E22" s="5" t="n"/>
      <c r="F22" s="5" t="n"/>
      <c r="G22" s="5" t="n"/>
      <c r="H22" s="5" t="n"/>
      <c r="I22" s="5" t="n"/>
      <c r="J22" s="5" t="n"/>
    </row>
    <row r="23" ht="42" customHeight="1">
      <c r="A23" s="3" t="inlineStr">
        <is>
          <t>Restore</t>
        </is>
      </c>
      <c r="B23" s="3" t="inlineStr">
        <is>
          <t>Data (GB)</t>
        </is>
      </c>
      <c r="C23" s="3" t="inlineStr">
        <is>
          <t>Rate ($/GB)</t>
        </is>
      </c>
      <c r="D23" s="3" t="inlineStr">
        <is>
          <t>Cost (USD)</t>
        </is>
      </c>
      <c r="E23" s="3" t="inlineStr">
        <is>
          <t>Note</t>
        </is>
      </c>
    </row>
    <row r="24">
      <c r="A24" s="6" t="inlineStr">
        <is>
          <t>S3 restore, 1 GB</t>
        </is>
      </c>
      <c r="B24" s="20" t="n">
        <v>1</v>
      </c>
      <c r="C24" s="42">
        <f>Rates!$B$21</f>
        <v>0.02</v>
      </c>
      <c r="D24" s="43">
        <f>B24*C24</f>
        <v>0.02</v>
      </c>
      <c r="E24" s="15" t="inlineStr">
        <is>
          <t>Plus S3 PUT requests for the restored objects ($0.005 per 1,000).</t>
        </is>
      </c>
      <c r="F24" s="16" t="n"/>
      <c r="G24" s="16" t="n"/>
      <c r="H24" s="16" t="n"/>
      <c r="I24" s="16" t="n"/>
      <c r="J24" s="17" t="n"/>
    </row>
    <row r="25">
      <c r="A25" s="6" t="inlineStr">
        <is>
          <t>EC2 / EBS restore, any size</t>
        </is>
      </c>
      <c r="B25" s="20" t="n">
        <v>8</v>
      </c>
      <c r="C25" s="46" t="n">
        <v>0</v>
      </c>
      <c r="D25" s="43">
        <f>B25*C25</f>
        <v>0</v>
      </c>
      <c r="E25" s="15" t="inlineStr">
        <is>
          <t>No AWS Backup restore charge for EBS snapshots. The restored volume then bills as a normal gp3 volume.</t>
        </is>
      </c>
      <c r="F25" s="16" t="n"/>
      <c r="G25" s="16" t="n"/>
      <c r="H25" s="16" t="n"/>
      <c r="I25" s="16" t="n"/>
      <c r="J25" s="17" t="n"/>
    </row>
    <row r="26"/>
    <row r="27">
      <c r="A27" s="4" t="inlineStr">
        <is>
          <t>D. Example: one EC2 instance (1 GB used), backed up and copied to a second region</t>
        </is>
      </c>
      <c r="B27" s="5" t="n"/>
      <c r="C27" s="5" t="n"/>
      <c r="D27" s="5" t="n"/>
      <c r="E27" s="5" t="n"/>
      <c r="F27" s="5" t="n"/>
      <c r="G27" s="5" t="n"/>
      <c r="H27" s="5" t="n"/>
      <c r="I27" s="5" t="n"/>
      <c r="J27" s="5" t="n"/>
    </row>
    <row r="28" ht="42" customHeight="1">
      <c r="A28" s="3" t="inlineStr">
        <is>
          <t>Line</t>
        </is>
      </c>
      <c r="B28" s="3" t="inlineStr">
        <is>
          <t>Per month (USD)</t>
        </is>
      </c>
      <c r="C28" s="3" t="inlineStr">
        <is>
          <t>Note</t>
        </is>
      </c>
    </row>
    <row r="29">
      <c r="A29" s="6" t="inlineStr">
        <is>
          <t>Primary vault storage</t>
        </is>
      </c>
      <c r="B29" s="43">
        <f>F9</f>
        <v>0.05</v>
      </c>
      <c r="C29" s="15" t="inlineStr"/>
      <c r="D29" s="16" t="n"/>
      <c r="E29" s="16" t="n"/>
      <c r="F29" s="16" t="n"/>
      <c r="G29" s="16" t="n"/>
      <c r="H29" s="16" t="n"/>
      <c r="I29" s="16" t="n"/>
      <c r="J29" s="17" t="n"/>
    </row>
    <row r="30">
      <c r="A30" s="6" t="inlineStr">
        <is>
          <t>DR vault storage</t>
        </is>
      </c>
      <c r="B30" s="43">
        <f>H15</f>
        <v>0.05</v>
      </c>
      <c r="C30" s="15" t="inlineStr"/>
      <c r="D30" s="16" t="n"/>
      <c r="E30" s="16" t="n"/>
      <c r="F30" s="16" t="n"/>
      <c r="G30" s="16" t="n"/>
      <c r="H30" s="16" t="n"/>
      <c r="I30" s="16" t="n"/>
      <c r="J30" s="17" t="n"/>
    </row>
    <row r="31">
      <c r="A31" s="6" t="inlineStr">
        <is>
          <t>Cross-region transfer (first copy only)</t>
        </is>
      </c>
      <c r="B31" s="43">
        <f>E15</f>
        <v>0.02</v>
      </c>
      <c r="C31" s="15" t="inlineStr">
        <is>
          <t>One time. Later daily copies send only changed blocks.</t>
        </is>
      </c>
      <c r="D31" s="16" t="n"/>
      <c r="E31" s="16" t="n"/>
      <c r="F31" s="16" t="n"/>
      <c r="G31" s="16" t="n"/>
      <c r="H31" s="16" t="n"/>
      <c r="I31" s="16" t="n"/>
      <c r="J31" s="17" t="n"/>
    </row>
    <row r="32">
      <c r="A32" s="6" t="inlineStr">
        <is>
          <t>Backup job and copy job fees</t>
        </is>
      </c>
      <c r="B32" s="43" t="n">
        <v>0</v>
      </c>
      <c r="C32" s="15" t="inlineStr">
        <is>
          <t>AWS Backup has no per-job fee.</t>
        </is>
      </c>
      <c r="D32" s="16" t="n"/>
      <c r="E32" s="16" t="n"/>
      <c r="F32" s="16" t="n"/>
      <c r="G32" s="16" t="n"/>
      <c r="H32" s="16" t="n"/>
      <c r="I32" s="16" t="n"/>
      <c r="J32" s="17" t="n"/>
    </row>
    <row r="33">
      <c r="A33" s="9" t="inlineStr">
        <is>
          <t>Total, first month</t>
        </is>
      </c>
      <c r="B33" s="45">
        <f>SUM(B29:B32)</f>
        <v>0.12000000000000001</v>
      </c>
    </row>
  </sheetData>
  <mergeCells count="14">
    <mergeCell ref="E25:J25"/>
    <mergeCell ref="G6:J6"/>
    <mergeCell ref="G9:J9"/>
    <mergeCell ref="E24:J24"/>
    <mergeCell ref="C29:J29"/>
    <mergeCell ref="C30:J30"/>
    <mergeCell ref="G8:J8"/>
    <mergeCell ref="C32:J32"/>
    <mergeCell ref="G7:J7"/>
    <mergeCell ref="A20:J20"/>
    <mergeCell ref="A2:J2"/>
    <mergeCell ref="G11:J11"/>
    <mergeCell ref="C31:J31"/>
    <mergeCell ref="G10:J10"/>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5"/>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40" customWidth="1" min="1" max="1"/>
    <col width="16" customWidth="1" min="2" max="2"/>
    <col width="18" customWidth="1" min="3" max="3"/>
    <col width="16" customWidth="1" min="4" max="4"/>
    <col width="16" customWidth="1" min="5" max="5"/>
    <col width="16" customWidth="1" min="6" max="6"/>
    <col width="16" customWidth="1" min="7" max="7"/>
    <col width="54" customWidth="1" min="8" max="8"/>
  </cols>
  <sheetData>
    <row r="1" ht="17.35" customHeight="1">
      <c r="A1" s="1" t="inlineStr">
        <is>
          <t>S3 Cross-Region Replication (CRR) and Same-Region Replication (SRR)</t>
        </is>
      </c>
    </row>
    <row r="2" ht="27.75" customHeight="1">
      <c r="A2" s="12" t="inlineStr">
        <is>
          <t>Replication is an automatic rule on the source bucket. You pay for: the data crossing regions (CRR only), the PUT request that writes each replica, the GET that reads the source, and the storage the replica occupies. The rule itself is free. Source-bucket storage is billed as normal and is not repeated here.</t>
        </is>
      </c>
    </row>
    <row r="3"/>
    <row r="4">
      <c r="A4" s="4" t="inlineStr">
        <is>
          <t>A. One-time cost to replicate one object</t>
        </is>
      </c>
      <c r="B4" s="5" t="n"/>
      <c r="C4" s="5" t="n"/>
      <c r="D4" s="5" t="n"/>
      <c r="E4" s="5" t="n"/>
      <c r="F4" s="5" t="n"/>
      <c r="G4" s="5" t="n"/>
      <c r="H4" s="5" t="n"/>
    </row>
    <row r="5" ht="42" customHeight="1">
      <c r="A5" s="3" t="inlineStr">
        <is>
          <t>Object size</t>
        </is>
      </c>
      <c r="B5" s="3" t="inlineStr">
        <is>
          <t>Size (GB)</t>
        </is>
      </c>
      <c r="C5" s="3" t="inlineStr">
        <is>
          <t>Inter-region transfer (USD)</t>
        </is>
      </c>
      <c r="D5" s="3" t="inlineStr">
        <is>
          <t>Replication PUT (USD)</t>
        </is>
      </c>
      <c r="E5" s="3" t="inlineStr">
        <is>
          <t>Source GET (USD)</t>
        </is>
      </c>
      <c r="F5" s="3" t="inlineStr">
        <is>
          <t>Total once, CRR (USD)</t>
        </is>
      </c>
      <c r="G5" s="3" t="inlineStr">
        <is>
          <t>Total once, SRR (USD)</t>
        </is>
      </c>
      <c r="H5" s="3" t="inlineStr">
        <is>
          <t>Note</t>
        </is>
      </c>
    </row>
    <row r="6">
      <c r="A6" s="6" t="inlineStr">
        <is>
          <t>1 KB</t>
        </is>
      </c>
      <c r="B6" s="41">
        <f>1/Rates!$B$5</f>
        <v>9.5367431640625e-07</v>
      </c>
      <c r="C6" s="43">
        <f>B6*Rates!$B$13</f>
        <v>1.9073486328125e-08</v>
      </c>
      <c r="D6" s="43">
        <f>Rates!$B$11/1000</f>
        <v>5e-06</v>
      </c>
      <c r="E6" s="43">
        <f>Rates!$B$12/1000</f>
        <v>4.0000000000000003e-07</v>
      </c>
      <c r="F6" s="43">
        <f>C6+D6+E6</f>
        <v>5.419073486328125e-06</v>
      </c>
      <c r="G6" s="43">
        <f>D6+E6</f>
        <v>5.400000000000001e-06</v>
      </c>
      <c r="H6" s="15" t="inlineStr">
        <is>
          <t>Request cost dwarfs transfer cost for tiny objects.</t>
        </is>
      </c>
    </row>
    <row r="7">
      <c r="A7" s="6" t="inlineStr">
        <is>
          <t>125.2 KB (your test file)</t>
        </is>
      </c>
      <c r="B7" s="41">
        <f>125.2/Rates!$B$5</f>
        <v>0.0001194000244140625</v>
      </c>
      <c r="C7" s="43">
        <f>B7*Rates!$B$13</f>
        <v>2.38800048828125e-06</v>
      </c>
      <c r="D7" s="43">
        <f>Rates!$B$11/1000</f>
        <v>5e-06</v>
      </c>
      <c r="E7" s="43">
        <f>Rates!$B$12/1000</f>
        <v>4.0000000000000003e-07</v>
      </c>
      <c r="F7" s="43">
        <f>C7+D7+E7</f>
        <v>7.78800048828125e-06</v>
      </c>
      <c r="G7" s="43">
        <f>D7+E7</f>
        <v>5.400000000000001e-06</v>
      </c>
      <c r="H7" s="15" t="inlineStr"/>
    </row>
    <row r="8">
      <c r="A8" s="6" t="inlineStr">
        <is>
          <t>1 MB</t>
        </is>
      </c>
      <c r="B8" s="41">
        <f>1/Rates!$B$6</f>
        <v>0.0009765625</v>
      </c>
      <c r="C8" s="43">
        <f>B8*Rates!$B$13</f>
        <v>1.953125e-05</v>
      </c>
      <c r="D8" s="43">
        <f>Rates!$B$11/1000</f>
        <v>5e-06</v>
      </c>
      <c r="E8" s="43">
        <f>Rates!$B$12/1000</f>
        <v>4.0000000000000003e-07</v>
      </c>
      <c r="F8" s="43">
        <f>C8+D8+E8</f>
        <v>2.493125e-05</v>
      </c>
      <c r="G8" s="43">
        <f>D8+E8</f>
        <v>5.400000000000001e-06</v>
      </c>
      <c r="H8" s="15" t="inlineStr"/>
    </row>
    <row r="9">
      <c r="A9" s="6" t="inlineStr">
        <is>
          <t>1 GB</t>
        </is>
      </c>
      <c r="B9" s="44" t="n">
        <v>1</v>
      </c>
      <c r="C9" s="43">
        <f>B9*Rates!$B$13</f>
        <v>0.02</v>
      </c>
      <c r="D9" s="43">
        <f>Rates!$B$11/1000</f>
        <v>5e-06</v>
      </c>
      <c r="E9" s="43">
        <f>Rates!$B$12/1000</f>
        <v>4.0000000000000003e-07</v>
      </c>
      <c r="F9" s="43">
        <f>C9+D9+E9</f>
        <v>0.020005400000000003</v>
      </c>
      <c r="G9" s="43">
        <f>D9+E9</f>
        <v>5.400000000000001e-06</v>
      </c>
      <c r="H9" s="15" t="inlineStr">
        <is>
          <t>Transfer dominates for large objects.</t>
        </is>
      </c>
    </row>
    <row r="10" ht="27.75" customHeight="1">
      <c r="A10" s="12" t="inlineStr">
        <is>
          <t>SRR (replicating into a bucket in the SAME region) has no inter-region transfer charge, so it costs only the two request fees plus replica storage.</t>
        </is>
      </c>
    </row>
    <row r="11"/>
    <row r="12">
      <c r="A12" s="4" t="inlineStr">
        <is>
          <t>B. Ongoing cost: the replica sitting in the destination bucket</t>
        </is>
      </c>
      <c r="B12" s="5" t="n"/>
      <c r="C12" s="5" t="n"/>
      <c r="D12" s="5" t="n"/>
      <c r="E12" s="5" t="n"/>
      <c r="F12" s="5" t="n"/>
      <c r="G12" s="5" t="n"/>
      <c r="H12" s="5" t="n"/>
    </row>
    <row r="13" ht="42" customHeight="1">
      <c r="A13" s="3" t="inlineStr">
        <is>
          <t>Object size</t>
        </is>
      </c>
      <c r="B13" s="3" t="inlineStr">
        <is>
          <t>Size (GB)</t>
        </is>
      </c>
      <c r="C13" s="3" t="inlineStr">
        <is>
          <t>Rate ($/GB-month)</t>
        </is>
      </c>
      <c r="D13" s="3" t="inlineStr">
        <is>
          <t>Per hour (USD)</t>
        </is>
      </c>
      <c r="E13" s="3" t="inlineStr">
        <is>
          <t>Per day (USD)</t>
        </is>
      </c>
      <c r="F13" s="3" t="inlineStr">
        <is>
          <t>Per month (USD)</t>
        </is>
      </c>
      <c r="G13" s="3" t="inlineStr"/>
      <c r="H13" s="3" t="inlineStr">
        <is>
          <t>Note</t>
        </is>
      </c>
    </row>
    <row r="14">
      <c r="A14" s="6" t="inlineStr">
        <is>
          <t>1 KB</t>
        </is>
      </c>
      <c r="B14" s="41">
        <f>B6</f>
        <v>9.5367431640625e-07</v>
      </c>
      <c r="C14" s="42">
        <f>Rates!$B$10</f>
        <v>0.023</v>
      </c>
      <c r="D14" s="43">
        <f>F14/Rates!$B$4</f>
        <v>3.004727298266267e-11</v>
      </c>
      <c r="E14" s="43">
        <f>D14*24</f>
        <v>7.21134551583904e-10</v>
      </c>
      <c r="F14" s="43">
        <f>B14*C14</f>
        <v>2.193450927734375e-08</v>
      </c>
    </row>
    <row r="15">
      <c r="A15" s="6" t="inlineStr">
        <is>
          <t>125.2 KB (your test file)</t>
        </is>
      </c>
      <c r="B15" s="41">
        <f>B7</f>
        <v>0.0001194000244140625</v>
      </c>
      <c r="C15" s="42">
        <f>Rates!$B$10</f>
        <v>0.023</v>
      </c>
      <c r="D15" s="43">
        <f>F15/Rates!$B$4</f>
        <v>3.761918577429367e-09</v>
      </c>
      <c r="E15" s="43">
        <f>D15*24</f>
        <v>9.028604585830481e-08</v>
      </c>
      <c r="F15" s="43">
        <f>B15*C15</f>
        <v>2.7462005615234374e-06</v>
      </c>
    </row>
    <row r="16">
      <c r="A16" s="6" t="inlineStr">
        <is>
          <t>1 MB</t>
        </is>
      </c>
      <c r="B16" s="41">
        <f>B8</f>
        <v>0.0009765625</v>
      </c>
      <c r="C16" s="42">
        <f>Rates!$B$10</f>
        <v>0.023</v>
      </c>
      <c r="D16" s="43">
        <f>F16/Rates!$B$4</f>
        <v>3.076840753424657e-08</v>
      </c>
      <c r="E16" s="43">
        <f>D16*24</f>
        <v>7.384417808219177e-07</v>
      </c>
      <c r="F16" s="43">
        <f>B16*C16</f>
        <v>2.24609375e-05</v>
      </c>
    </row>
    <row r="17">
      <c r="A17" s="6" t="inlineStr">
        <is>
          <t>1 GB</t>
        </is>
      </c>
      <c r="B17" s="41">
        <f>B9</f>
        <v>1</v>
      </c>
      <c r="C17" s="42">
        <f>Rates!$B$10</f>
        <v>0.023</v>
      </c>
      <c r="D17" s="43">
        <f>F17/Rates!$B$4</f>
        <v>3.150684931506849e-05</v>
      </c>
      <c r="E17" s="43">
        <f>D17*24</f>
        <v>0.0007561643835616437</v>
      </c>
      <c r="F17" s="43">
        <f>B17*C17</f>
        <v>0.023</v>
      </c>
    </row>
    <row r="18" ht="27.75" customHeight="1">
      <c r="A18" s="12" t="inlineStr">
        <is>
          <t>Same rate for CRR and SRR: the replica is ordinary S3 Standard storage. Replicas keep every version, so a versioned source that overwrites often grows the replica too.</t>
        </is>
      </c>
    </row>
    <row r="19"/>
    <row r="20">
      <c r="A20" s="4" t="inlineStr">
        <is>
          <t>C. Replicating objects that already existed (S3 Batch Replication job)</t>
        </is>
      </c>
      <c r="B20" s="5" t="n"/>
      <c r="C20" s="5" t="n"/>
      <c r="D20" s="5" t="n"/>
      <c r="E20" s="5" t="n"/>
      <c r="F20" s="5" t="n"/>
      <c r="G20" s="5" t="n"/>
      <c r="H20" s="5" t="n"/>
    </row>
    <row r="21" ht="42" customHeight="1">
      <c r="A21" s="3" t="inlineStr">
        <is>
          <t>Scenario</t>
        </is>
      </c>
      <c r="B21" s="3" t="inlineStr">
        <is>
          <t>Objects</t>
        </is>
      </c>
      <c r="C21" s="3" t="inlineStr">
        <is>
          <t>Job fee (USD)</t>
        </is>
      </c>
      <c r="D21" s="3" t="inlineStr">
        <is>
          <t>Per-object fee (USD)</t>
        </is>
      </c>
      <c r="E21" s="3" t="inlineStr">
        <is>
          <t>Job total (USD)</t>
        </is>
      </c>
      <c r="F21" s="3" t="inlineStr">
        <is>
          <t>Note</t>
        </is>
      </c>
    </row>
    <row r="22">
      <c r="A22" s="6" t="inlineStr">
        <is>
          <t>Your test: 1 existing object</t>
        </is>
      </c>
      <c r="B22" s="24" t="n">
        <v>1</v>
      </c>
      <c r="C22" s="42">
        <f>Rates!$B$14</f>
        <v>0.25</v>
      </c>
      <c r="D22" s="43">
        <f>B22/1000000*Rates!$B$15</f>
        <v>1e-06</v>
      </c>
      <c r="E22" s="43">
        <f>C22+D22</f>
        <v>0.250001</v>
      </c>
      <c r="F22" s="15" t="inlineStr">
        <is>
          <t>The $0.25 job fee is the whole cost.</t>
        </is>
      </c>
      <c r="G22" s="16" t="n"/>
      <c r="H22" s="17" t="n"/>
    </row>
    <row r="23">
      <c r="A23" s="6" t="inlineStr">
        <is>
          <t>1,000 existing objects</t>
        </is>
      </c>
      <c r="B23" s="24" t="n">
        <v>1000</v>
      </c>
      <c r="C23" s="42">
        <f>Rates!$B$14</f>
        <v>0.25</v>
      </c>
      <c r="D23" s="43">
        <f>B23/1000000*Rates!$B$15</f>
        <v>0.001</v>
      </c>
      <c r="E23" s="43">
        <f>C23+D23</f>
        <v>0.251</v>
      </c>
      <c r="F23" s="15" t="inlineStr"/>
      <c r="G23" s="16" t="n"/>
      <c r="H23" s="17" t="n"/>
    </row>
    <row r="24">
      <c r="A24" s="6" t="inlineStr">
        <is>
          <t>1,000,000 existing objects</t>
        </is>
      </c>
      <c r="B24" s="24" t="n">
        <v>1000000</v>
      </c>
      <c r="C24" s="42">
        <f>Rates!$B$14</f>
        <v>0.25</v>
      </c>
      <c r="D24" s="43">
        <f>B24/1000000*Rates!$B$15</f>
        <v>1</v>
      </c>
      <c r="E24" s="43">
        <f>C24+D24</f>
        <v>1.25</v>
      </c>
      <c r="F24" s="15" t="inlineStr">
        <is>
          <t>The per-object fee finally matters at this scale.</t>
        </is>
      </c>
      <c r="G24" s="16" t="n"/>
      <c r="H24" s="17" t="n"/>
    </row>
    <row r="25" ht="27.75" customHeight="1">
      <c r="A25" s="12" t="inlineStr">
        <is>
          <t>The Batch job fee is on top of the table A costs, which are paid for every object the job copies. Objects uploaded AFTER the rule exists replicate with no job and no job fee.</t>
        </is>
      </c>
    </row>
  </sheetData>
  <mergeCells count="7">
    <mergeCell ref="A18:H18"/>
    <mergeCell ref="F23:H23"/>
    <mergeCell ref="F22:H22"/>
    <mergeCell ref="A25:H25"/>
    <mergeCell ref="A2:H2"/>
    <mergeCell ref="A10:H10"/>
    <mergeCell ref="F24:H2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2026-10-26T06:26:01Z</dcterms:created>
  <dcterms:modified xsi:type="dcterms:W3CDTF">2026-10-28T07:08:18Z</dcterms:modified>
</cp:coreProperties>
</file>